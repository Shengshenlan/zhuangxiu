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总览" sheetId="1" r:id="rId1"/>
    <sheet name="确认需求" sheetId="2" r:id="rId2"/>
    <sheet name="预算明细" sheetId="3" r:id="rId3"/>
    <sheet name="采购节奏" sheetId="4" r:id="rId4"/>
    <sheet name="报价对照" sheetId="5" r:id="rId5"/>
    <sheet name="依据与实测" sheetId="6" r:id="rId6"/>
  </sheets>
  <definedNames>
    <definedName name="_xlnm._FilterDatabase" localSheetId="1" hidden="1">确认需求!$A$5:$D$39</definedName>
    <definedName name="_xlnm._FilterDatabase" localSheetId="2" hidden="1">预算明细!$A$5:$J$45</definedName>
    <definedName name="_xlnm.Print_Area" localSheetId="5">依据与实测!$A$1:$D$22</definedName>
    <definedName name="_xlnm.Print_Area" localSheetId="4">报价对照!$A$1:$I$25</definedName>
    <definedName name="_xlnm.Print_Area" localSheetId="1">确认需求!$A$1:$D$39</definedName>
    <definedName name="_xlnm.Print_Area" localSheetId="3">采购节奏!$A$1:$D$12</definedName>
    <definedName name="_xlnm.Print_Area" localSheetId="0">预算总览!$A$1:$E$28</definedName>
    <definedName name="_xlnm.Print_Area" localSheetId="2">预算明细!$A$1:$J$46</definedName>
    <definedName name="_xlnm.Print_Titles" localSheetId="5">依据与实测!$1:$5</definedName>
    <definedName name="_xlnm.Print_Titles" localSheetId="4">报价对照!$1:$5</definedName>
    <definedName name="_xlnm.Print_Titles" localSheetId="1">确认需求!$1:$5</definedName>
    <definedName name="_xlnm.Print_Titles" localSheetId="3">采购节奏!$1:$5</definedName>
    <definedName name="_xlnm.Print_Titles" localSheetId="0">预算总览!$1:$5</definedName>
    <definedName name="_xlnm.Print_Titles" localSheetId="2">预算明细!$1:$5</definedName>
  </definedNames>
  <calcPr calcId="124519" fullCalcOnLoad="1"/>
</workbook>
</file>

<file path=xl/sharedStrings.xml><?xml version="1.0" encoding="utf-8"?>
<sst xmlns="http://schemas.openxmlformats.org/spreadsheetml/2006/main" count="553" uniqueCount="391">
  <si>
    <t>装修需求与预算</t>
  </si>
  <si>
    <t>约80㎡旧房全拆｜装修公司全包｜两人居住｜大家电优先小米/米家｜2026-10-06</t>
  </si>
  <si>
    <t>金额为规划预留，单位：人民币元。未扣补贴、券或以旧换新；窗户与柜体未量尺寸。蓝色格可改，合计自动更新；采购阶段在预算明细调整。</t>
  </si>
  <si>
    <t>资金分组</t>
  </si>
  <si>
    <t>低位估算</t>
  </si>
  <si>
    <t>高位估算</t>
  </si>
  <si>
    <t>当前预留</t>
  </si>
  <si>
    <t>范围与口径</t>
  </si>
  <si>
    <t>全包基础</t>
  </si>
  <si>
    <t>拆旧、水电、防水基层、瓷砖墙顶、门、橱柜卫浴与基础收纳；全包施工管理是否已含，见报价对照。</t>
  </si>
  <si>
    <t>门窗补充</t>
  </si>
  <si>
    <t>全换外窗、新入户门、猫用窗户防护；单列金额以核对套餐包含范围，合计只计一次。</t>
  </si>
  <si>
    <t>灯具窗帘智能</t>
  </si>
  <si>
    <t>基础照明面板、手拉窗帘、基础手机/语音控制；升级差价与普通件扣重。</t>
  </si>
  <si>
    <t>首批家具</t>
  </si>
  <si>
    <t>主卧床、沙发、餐桌、双电脑桌、补一把电脑椅、梳妆台、入住杂项。</t>
  </si>
  <si>
    <t>首批家电</t>
  </si>
  <si>
    <t>主卧空调、冰箱、洗烘一体、烟灶、燃气热水器、安装辅材及少量小电器。</t>
  </si>
  <si>
    <t>舒适后补</t>
  </si>
  <si>
    <t>客厅空调、电视、自动上下水机器人；冬夏入住时客厅空调可提前到首批。</t>
  </si>
  <si>
    <t>后买低频</t>
  </si>
  <si>
    <t>洗碗机、次卧客床；机器后买，接口与位置装修时先确定。</t>
  </si>
  <si>
    <t>可选未计</t>
  </si>
  <si>
    <t>只汇总“计入”改为1的备选项目，初始金额为0。各项估算见预算明细；0表示未选，不表示免费。</t>
  </si>
  <si>
    <t>首批项目小计</t>
  </si>
  <si>
    <t>首批基本入住，不含后补设备。</t>
  </si>
  <si>
    <t>首批机动资金（10%）</t>
  </si>
  <si>
    <t>旧房拆后基层、辅材和实测工程量可能变化，机动只计一次。</t>
  </si>
  <si>
    <t>首批＋机动</t>
  </si>
  <si>
    <t>用于安排首批现金；当前预留为各项目规划值，非预算上限。</t>
  </si>
  <si>
    <t>后续采购小计</t>
  </si>
  <si>
    <t>客厅空调、电视、机器人、洗碗机、客床。</t>
  </si>
  <si>
    <t>首批＋后续＋机动</t>
  </si>
  <si>
    <t>不含下方可选项、电脑硬件、游戏主机和可退装修押金。</t>
  </si>
  <si>
    <t>未纳入合计的备选：次卧空调、净水器、智能门锁升级、电动窗帘后升级。电脑硬件按用户要求暂不采购；Switch等娱乐硬件另行考虑。</t>
  </si>
  <si>
    <t>全包询价：请每家公司按同一范围列明拆旧清运、全部门窗、柜体五金、开关灯具、安装收口和管理服务是否包含。已在套餐计入的项目无需再加。</t>
  </si>
  <si>
    <t>图上标注面积合计54.4㎡，不是已核实的套内面积；主卧2.83×3.37m、次卧2.55×3.14m。铺贴、涂刷、窗户和柜体统一按现场测量工程量报价。</t>
  </si>
  <si>
    <t>已确认的装修需求</t>
  </si>
  <si>
    <t>以本次问答的最新选择为准；“方案建议”和“待复核”与用户已确定事项分别标明。</t>
  </si>
  <si>
    <t>旧房全拆重做；保留其他分隔，仅拆客厅后加隔间。使用需求已够形成第一版方案，尺寸与旧基层情况由现场复尺补齐。</t>
  </si>
  <si>
    <t>区域</t>
  </si>
  <si>
    <t>事项</t>
  </si>
  <si>
    <t>具体需求</t>
  </si>
  <si>
    <t>确认状态</t>
  </si>
  <si>
    <t>总体</t>
  </si>
  <si>
    <t>总预算</t>
  </si>
  <si>
    <t>暂不设最高额度，先算必需项目。</t>
  </si>
  <si>
    <t>用户确认</t>
  </si>
  <si>
    <t>施工方式</t>
  </si>
  <si>
    <t>装修公司全包：主材与施工由装修公司负责；报价须明确具体范围。</t>
  </si>
  <si>
    <t>工期</t>
  </si>
  <si>
    <t>没有固定入住期限，不赶着入住。</t>
  </si>
  <si>
    <t>旧房处理</t>
  </si>
  <si>
    <t>已有装修，旧装修全部拆除重做。</t>
  </si>
  <si>
    <t>布局</t>
  </si>
  <si>
    <t>拆客厅里后加的隔间，恢复客餐厅；其他房间分隔保留。</t>
  </si>
  <si>
    <t>门窗</t>
  </si>
  <si>
    <t>外窗全部换新；入户门也换新。</t>
  </si>
  <si>
    <t>搬运</t>
  </si>
  <si>
    <t>有电梯，可用于装修搬运。</t>
  </si>
  <si>
    <t>居住</t>
  </si>
  <si>
    <t>人数</t>
  </si>
  <si>
    <t>两个人长期住，都睡主卧。</t>
  </si>
  <si>
    <t>家电品牌</t>
  </si>
  <si>
    <t>大家电尽量选小米/米家，允许分批采购。</t>
  </si>
  <si>
    <t>基本风格</t>
  </si>
  <si>
    <t>装饰从简；按简单墙顶和成品家具优先规划。</t>
  </si>
  <si>
    <t>原需求＋方案假设</t>
  </si>
  <si>
    <t>主卧</t>
  </si>
  <si>
    <t>身材与床</t>
  </si>
  <si>
    <t>188cm/100kg、160cm/50kg；助手建议床宽1.8m，床长优先2.1m。</t>
  </si>
  <si>
    <t>身材已确认；床为方案建议</t>
  </si>
  <si>
    <t>收纳</t>
  </si>
  <si>
    <t>顶柜＋挂衣杆＋帘子，按两人日常衣物量先规划；尚未盘点衣物。</t>
  </si>
  <si>
    <t>梳妆台</t>
  </si>
  <si>
    <t>需要梳妆台，兼顾采光、挂衣区和通道。</t>
  </si>
  <si>
    <t>原需求文件</t>
  </si>
  <si>
    <t>次卧</t>
  </si>
  <si>
    <t>留宿频率</t>
  </si>
  <si>
    <t>一年偶尔留宿几次，按备用客房规划；客床形式待定。</t>
  </si>
  <si>
    <t>工位</t>
  </si>
  <si>
    <t>设备</t>
  </si>
  <si>
    <t>两台台式机，各一块显示器，共两块屏幕；替代之前的双屏＋单屏设想。</t>
  </si>
  <si>
    <t>采购口径</t>
  </si>
  <si>
    <t>两台电脑暂不纳入采购预算；本表电脑硬件整体暂不计，显示器采购若另有需要再加。</t>
  </si>
  <si>
    <t>用户确认电脑排除；预算口径明确</t>
  </si>
  <si>
    <t>位置</t>
  </si>
  <si>
    <t>用户希望靠近客厅窗户；本版沿靠阳台的两侧墙各放120×60cm桌，中间留通路。</t>
  </si>
  <si>
    <t>靠窗偏好已确认；占位待复尺</t>
  </si>
  <si>
    <t>客厅</t>
  </si>
  <si>
    <t>娱乐</t>
  </si>
  <si>
    <t>保留沙发、电视位置，未来会买Switch等主机；不因工位取消娱乐区。</t>
  </si>
  <si>
    <t>餐桌</t>
  </si>
  <si>
    <t>希望饭桌可收纳；本版采用带抽屉折叠桌，收拢30×80cm、展开120×80cm。</t>
  </si>
  <si>
    <t>收纳要求已确认；尺寸为建议</t>
  </si>
  <si>
    <t>床朝向</t>
  </si>
  <si>
    <t>用户希望床调个面；本版先把床头换到图面右侧墙，可切回左侧比较。</t>
  </si>
  <si>
    <t>用户要求调整；具体朝向为方案解释</t>
  </si>
  <si>
    <t>新增顶柜</t>
  </si>
  <si>
    <t>用户希望考虑上方打柜；工位、电视墙、主卧门洞及次卧柜顶先排备选模块。</t>
  </si>
  <si>
    <t>需求已记录；柜量与固定条件待复尺</t>
  </si>
  <si>
    <t>厨房</t>
  </si>
  <si>
    <t>使用</t>
  </si>
  <si>
    <t>两人生活，每周在家做饭几次。</t>
  </si>
  <si>
    <t>洗碗机</t>
  </si>
  <si>
    <t>以后买；装修时预留柜位、进排水及电源。</t>
  </si>
  <si>
    <t>天然气</t>
  </si>
  <si>
    <t>已开通，可正常使用。</t>
  </si>
  <si>
    <t>洗衣</t>
  </si>
  <si>
    <t>一台洗烘一体机，洗涤与烘干合并；具体摆放区和型号待复核。</t>
  </si>
  <si>
    <t>用户确认类型</t>
  </si>
  <si>
    <t>地面</t>
  </si>
  <si>
    <t>材料</t>
  </si>
  <si>
    <t>客厅和两间卧室均铺瓷砖。</t>
  </si>
  <si>
    <t>卫生间</t>
  </si>
  <si>
    <t>便器</t>
  </si>
  <si>
    <t>继续采用蹲便器形式；按全拆旧重做预算，是否复用旧件需现场确认。</t>
  </si>
  <si>
    <t>用户确认形式</t>
  </si>
  <si>
    <t>淋浴</t>
  </si>
  <si>
    <t>暂不做淋浴隔断，开放式淋浴；原干湿分隔设想已更新。</t>
  </si>
  <si>
    <t>用户最新确认</t>
  </si>
  <si>
    <t>供暖</t>
  </si>
  <si>
    <t>方式</t>
  </si>
  <si>
    <t>冬季用空调取暖。</t>
  </si>
  <si>
    <t>智能</t>
  </si>
  <si>
    <t>控制</t>
  </si>
  <si>
    <t>手机、语音控制就够，基础智能方案。</t>
  </si>
  <si>
    <t>窗帘</t>
  </si>
  <si>
    <t>升级</t>
  </si>
  <si>
    <t>先手拉，预留电动窗帘电源，以后升级。</t>
  </si>
  <si>
    <t>已有物品</t>
  </si>
  <si>
    <t>继续使用</t>
  </si>
  <si>
    <t>一把电脑椅、一个空气炸锅、一个电饭锅；没有其他可搬入的大家电。</t>
  </si>
  <si>
    <t>养猫</t>
  </si>
  <si>
    <t>空间</t>
  </si>
  <si>
    <t>一只猫；猫砂、饮食、活动空间及窗户防护纳入规划。</t>
  </si>
  <si>
    <t>机器人</t>
  </si>
  <si>
    <t>基础条件</t>
  </si>
  <si>
    <t>计划自动换水扫拖机器人，先留基站、上下水、电源与检修空间。</t>
  </si>
  <si>
    <t>逐项预算与采购范围</t>
  </si>
  <si>
    <t>蓝色“当前预留”“阶段”“计入”可以改；1=计入、0=未计。调整阶段会更新首批与后补现金安排；合同报价填“报价对照”。</t>
  </si>
  <si>
    <t>全包范围不靠名称判断：按分项清单核对。家具、家电作为采购预算；门窗、收纳等如全包套餐已含，以实际分项金额替换，避免重复。</t>
  </si>
  <si>
    <t>编号</t>
  </si>
  <si>
    <t>项目</t>
  </si>
  <si>
    <t>计划范围</t>
  </si>
  <si>
    <t>阶段</t>
  </si>
  <si>
    <t>计入(1/0)</t>
  </si>
  <si>
    <t>报价核对点</t>
  </si>
  <si>
    <t>全拆旧与垃圾清运</t>
  </si>
  <si>
    <t>旧地面、厨卫墙砖、旧橱柜洁具、旧门套等；拆客厅后加隔间，其他布局保留。</t>
  </si>
  <si>
    <t>首批</t>
  </si>
  <si>
    <t>列明拆除范围、装袋、下楼、外运及清运次数；电梯可用。原家具清走情况现场核对。</t>
  </si>
  <si>
    <t>水电重做及未来设备预留</t>
  </si>
  <si>
    <t>按新布局重做；靠阳台两侧单屏工位的插座网口，空调点位，洗烘机、洗碗机、机器人接口，电动窗帘电源。</t>
  </si>
  <si>
    <t>列点位图、回路、水管电线品牌规格及计价方式；窗边桌线缆走墙，避开窗帘和阳台门。此项含管线底盒，面板另核算。</t>
  </si>
  <si>
    <t>防水、找平及基层修复</t>
  </si>
  <si>
    <t>拆除后的墙地面修复、必要找平、厨卫需做的防水与施工检验。</t>
  </si>
  <si>
    <t>区分拆除、修复、防水和铺砖工序，避免同一找平工程重复计价；旧基层状态拆后复核。</t>
  </si>
  <si>
    <t>瓷砖、铺贴及收口</t>
  </si>
  <si>
    <t>客厅与两卧均铺瓷砖；厨卫墙地砖、阳台地面按实测；含辅料、踢脚线及填缝收口。</t>
  </si>
  <si>
    <t>按净铺贴面积报价，列品牌型号、损耗、铺贴规格、辅料与收口；54.4㎡只是图上已标房间面积合计。</t>
  </si>
  <si>
    <t>墙顶基层与乳胶漆</t>
  </si>
  <si>
    <t>简单墙顶面处理及乳胶漆，不做复杂背景墙。</t>
  </si>
  <si>
    <t>列施工面积、基层处理方式、腻子及涂料型号；墙皮铲除若在拆旧中已计，不重复加。</t>
  </si>
  <si>
    <t>厨卫吊顶及必要局部吊顶</t>
  </si>
  <si>
    <t>厨卫基础吊顶及必要遮管，整体从简。</t>
  </si>
  <si>
    <t>主卧顶柜另在收纳项；复杂客厅造型未列入。</t>
  </si>
  <si>
    <t>室内门及门套</t>
  </si>
  <si>
    <t>两卧、卫生间及厨房需更换的门，暂按3～4樘估算。</t>
  </si>
  <si>
    <t>实测数量，列门扇门套、五金、门槛和安装；入户门另列。</t>
  </si>
  <si>
    <t>橱柜、台面、水槽与龙头</t>
  </si>
  <si>
    <t>约4.7㎡厨房，基础地柜吊柜、台面、水槽龙头；洗碗机以后买，预留柜位。</t>
  </si>
  <si>
    <t>列地柜吊柜长度、转角、台面、五金和安装；柜位必须按拟选洗碗机外尺寸确定。</t>
  </si>
  <si>
    <t>基础卫浴</t>
  </si>
  <si>
    <t>蹲便器及水箱、花洒、洗手盆/小浴室柜、地漏和基础配件；开放式淋浴。</t>
  </si>
  <si>
    <t>蹲便形式保留；便器设备按新购预留，旧件是否能复用现场核对。防水和管线在对应工种项。</t>
  </si>
  <si>
    <t>主卧及基础收纳</t>
  </si>
  <si>
    <t>原需求主卧顶柜＋挂衣杆＋帘子，鞋柜及基础储物；先按两人日常衣物量规划。新增浅顶柜另列备选。</t>
  </si>
  <si>
    <t>列柜体计价方式、板材五金、墙体固定；梳妆台在家具项。主卧原顶柜已计此行，不能在新增顶柜中重复报价。</t>
  </si>
  <si>
    <t>外窗全部换新</t>
  </si>
  <si>
    <t>现有外窗全部更换；面积及开启方式尚未实测。</t>
  </si>
  <si>
    <t>预算占位，按每樘窗尺寸、型材玻璃、拆旧安装、密封收口核算；新增封阳台工程范围需现场明确。</t>
  </si>
  <si>
    <t>入户门换新</t>
  </si>
  <si>
    <t>新入户门、常规配套锁具、拆旧安装与收口。</t>
  </si>
  <si>
    <t>此行按普通配套锁估算；智能锁是否升级未确认，另作可选差价。</t>
  </si>
  <si>
    <t>猫用窗户防护</t>
  </si>
  <si>
    <t>有猫，按可开启窗户配置可靠防护的预算占位。</t>
  </si>
  <si>
    <t>核实防护结构、安装固定、开窗与检修方式；避免与窗户套餐中的纱窗重复算。</t>
  </si>
  <si>
    <t>灯具与普通开关插座面板</t>
  </si>
  <si>
    <t>基础照明、普通开关插座面板；不做复杂装饰灯。</t>
  </si>
  <si>
    <t>若面板已含在水电套餐，本行扣除对应部分；智能替换部分只在下一行算升级差价。</t>
  </si>
  <si>
    <t>手拉窗帘与轨道</t>
  </si>
  <si>
    <t>客厅、卧室先手拉；电动升级电源已列水电预留。</t>
  </si>
  <si>
    <t>列布料尺寸、轨道、配件及安装；今后换电机与轨道的兼容性另核对。</t>
  </si>
  <si>
    <t>基础智能与网络设备</t>
  </si>
  <si>
    <t>米家方向；手机、语音控制，基础音箱/网关/路由器和必要智能开关升级差价。</t>
  </si>
  <si>
    <t>型号应相互兼容，具体数量待点位图；普通面板已计价部分扣除，仅算升级差价。</t>
  </si>
  <si>
    <t>主卧床架与床垫</t>
  </si>
  <si>
    <t>助手建议宽1.8米，床长优先2.1米；窄边床架；两人188cm/100kg与160cm/50kg。</t>
  </si>
  <si>
    <t>本版先按床头左右对调、靠图面右侧墙；完整床架尺寸、试躺与承重需复核；2.1米长款如需定制应明确价格。</t>
  </si>
  <si>
    <t>客厅沙发</t>
  </si>
  <si>
    <t>保留沙发＋电视/未来游戏主机娱乐区，先按紧凑成品沙发估算。</t>
  </si>
  <si>
    <t>尺寸与电视区、餐区、双人工位及通道一起排布。</t>
  </si>
  <si>
    <t>餐桌椅</t>
  </si>
  <si>
    <t>用户希望可收纳；本版按带抽屉折叠餐桌＋两把可折叠椅，收拢约30×80cm、展开约120×80cm。</t>
  </si>
  <si>
    <t>尺寸为占位建议，实际产品需核对稳定性、桌翼支撑、折叠椅是否能收入；展开前将桌子移出墙边。</t>
  </si>
  <si>
    <t>两张电脑桌</t>
  </si>
  <si>
    <t>两台台式机各一块屏幕；本版两张120×60cm桌，放在客厅靠阳台窗的两侧墙边。</t>
  </si>
  <si>
    <t>电脑硬件不计采购；核对显示器与主机外尺寸。按58cm椅子收近桌边时中间约82cm，需实测已有椅子与阳台门。</t>
  </si>
  <si>
    <t>补一把电脑椅</t>
  </si>
  <si>
    <t>已有一把电脑椅，另一把按新购估算。</t>
  </si>
  <si>
    <t>已有椅子的搬运另与搬家统一考虑。</t>
  </si>
  <si>
    <t>保留主卧梳妆台需求，暂按紧凑成品款。</t>
  </si>
  <si>
    <t>结合床、挂衣区、窗户和使用通道核对位置。</t>
  </si>
  <si>
    <t>入住杂项与开荒保洁</t>
  </si>
  <si>
    <t>基础床品、晾衣小物、活动五金、基础猫用品及开荒保洁。</t>
  </si>
  <si>
    <t>施工安装五金已在对应项目，不重复；已有电饭锅、空气炸锅继续用。</t>
  </si>
  <si>
    <t>主卧空调</t>
  </si>
  <si>
    <t>优先米家/小米1～1.5匹变频，卧室首批只买主卧；冬季空调取暖。</t>
  </si>
  <si>
    <t>官网当前有1.5匹产品；型号、配色、安装条件与实际到手价以采购时核对。</t>
  </si>
  <si>
    <t>冰箱</t>
  </si>
  <si>
    <t>优先米家风冷，先按300～400L级预算，最终按柜位尺寸选择。</t>
  </si>
  <si>
    <t>容量只是方向；机身宽深、散热、开门和搬运尺寸必须先核对。</t>
  </si>
  <si>
    <t>洗烘一体机</t>
  </si>
  <si>
    <t>优先米家10～12kg洗烘一体，一台设备完成洗衣与烘干。</t>
  </si>
  <si>
    <t>是洗烘一体机；洗与烘额定容量分别查说明书，摆放区上下水和机身外尺寸待复尺。</t>
  </si>
  <si>
    <t>天然气烟灶套装</t>
  </si>
  <si>
    <t>天然气已开通；优先米家常规烟机＋天然气灶。</t>
  </si>
  <si>
    <t>灶具气源、开孔、烟机尺寸、排烟连接按现选产品核对，烟灶不与橱柜台面重复报价。</t>
  </si>
  <si>
    <t>燃气热水器</t>
  </si>
  <si>
    <t>两人使用，暂按常规16L天然气恒温款预算，优先米家合适型号。</t>
  </si>
  <si>
    <t>这是预算方案而非已定型号；排烟和安装条件需安装方现场核对；不默认使用高价双循环Pro款。</t>
  </si>
  <si>
    <t>家电安装与辅材</t>
  </si>
  <si>
    <t>空调、热水器等可能的管件、支架、加长连接及安装补差。</t>
  </si>
  <si>
    <t>不是默认安装收费；逐台查免费项目与超出部分，已计入装修或设备套餐的部分扣除。</t>
  </si>
  <si>
    <t>补充基础小家电</t>
  </si>
  <si>
    <t>根据实际使用补烧水壶等，电饭锅、空气炸锅已有。</t>
  </si>
  <si>
    <t>此项为占位，可用现成用品时削减。</t>
  </si>
  <si>
    <t>客餐厅空调</t>
  </si>
  <si>
    <t>按2～3匹预算方向，客餐厅含两台电脑的散热；如冬夏入住提前买。</t>
  </si>
  <si>
    <t>后补</t>
  </si>
  <si>
    <t>朝向、西晒、层高和使用热负荷需复核；挂机/柜机最后结合布局选。安装补差总额统一核对。</t>
  </si>
  <si>
    <t>电视</t>
  </si>
  <si>
    <t>客厅电视长期需要，可晚买；预留未来Switch等游戏主机摆放连接位置。</t>
  </si>
  <si>
    <t>先定观看位置与柜位，尺寸和游戏接口需求再选；本行不含游戏主机采购。</t>
  </si>
  <si>
    <t>自动上下水扫拖机器人</t>
  </si>
  <si>
    <t>已提出自动换水机器人需求，可后买；水电及基站空间先规划。</t>
  </si>
  <si>
    <t>确认所选型号是否支持自动上下水及适用安装条件，猫毛处理和避障功能采购时核对。</t>
  </si>
  <si>
    <t>已明确后买；装修期先预留柜位、进排水、电源。</t>
  </si>
  <si>
    <t>宽深高、开门和水路以拟选型号为准；机器与橱柜范围分清。</t>
  </si>
  <si>
    <t>次卧客床及床垫</t>
  </si>
  <si>
    <t>一年几次临时留宿；床形式待工位布局确定后选，可后买。</t>
  </si>
  <si>
    <t>单人尺寸与留宿人数未最终定，此为小客床预算；需要双人留宿时另核对。</t>
  </si>
  <si>
    <t>次卧空调</t>
  </si>
  <si>
    <t>次卧低频客房，设备可后买，孔位与电源先规划。</t>
  </si>
  <si>
    <t>可选</t>
  </si>
  <si>
    <t>未列入当前必要合计；如需求确定，预算表的“纳入”改为1即可计入。</t>
  </si>
  <si>
    <t>厨下净水器</t>
  </si>
  <si>
    <t>前文提到的备选家电，用户尚未明确需要。</t>
  </si>
  <si>
    <t>未计入合计；耗材费用另按型号核对。</t>
  </si>
  <si>
    <t>智能门锁升级差价</t>
  </si>
  <si>
    <t>入户门已确定换新，门锁智能功能尚未确认。</t>
  </si>
  <si>
    <t>普通配套锁已在入户门项；本行仅估升级差价，避免两套锁重复计价。</t>
  </si>
  <si>
    <t>电动窗帘后续升级</t>
  </si>
  <si>
    <t>已明确先手拉、电源预留；电机与兼容轨道可以以后再配。</t>
  </si>
  <si>
    <t>未计当前合计；按窗帘数量、轨道长度、型号及安装核对。</t>
  </si>
  <si>
    <t>新增浅顶柜（方案备选）</t>
  </si>
  <si>
    <t>两个工位上方、电视墙上方、主卧门洞上方及次卧柜补顶层，共约5.48延米；前四处深30cm，次卧延续50cm深。</t>
  </si>
  <si>
    <t>规划估算，未取得柜体报价；需按板材五金、墙体可靠固定、梁和门窗空调净空复尺。主卧原顶柜已计基础收纳，勿重复。</t>
  </si>
  <si>
    <t>计入项目合计</t>
  </si>
  <si>
    <t>不含机动资金；机动资金在“预算总览”只计一次。</t>
  </si>
  <si>
    <t>施工与分批采购</t>
  </si>
  <si>
    <t>没有硬性入住期限；先定布局、尺寸和接口，设备按需要买，避免尺寸变化导致返工。</t>
  </si>
  <si>
    <t>安排</t>
  </si>
  <si>
    <t>必须先定的条件</t>
  </si>
  <si>
    <t>对应预算</t>
  </si>
  <si>
    <t>方案及询价</t>
  </si>
  <si>
    <t>复尺窗边两侧单屏工位、折叠餐桌、沙发电视区、床调向、浅顶柜、门窗与洗衣区。</t>
  </si>
  <si>
    <t>设备购买可延后，但冰箱、洗烘机、洗碗机、机器人等拟选型号的外尺寸与安装条件需先确定。</t>
  </si>
  <si>
    <t>全包基础＋门窗补充</t>
  </si>
  <si>
    <t>拆旧及水电</t>
  </si>
  <si>
    <t>拆旧、复核旧基层、完成点位图与水电防水等隐蔽工程。</t>
  </si>
  <si>
    <t>两台电脑回路与网口、空调点位、电动窗帘电源、洗碗机和机器人接口一次规划。</t>
  </si>
  <si>
    <t>硬装安装完成</t>
  </si>
  <si>
    <t>完成瓷砖墙顶、门窗、橱柜卫浴、收纳、照明和手拉窗帘。</t>
  </si>
  <si>
    <t>各分项安装收口责任在报价里明确，家电进场顺序与装修公司协调。</t>
  </si>
  <si>
    <t>全包基础＋门窗灯具窗帘</t>
  </si>
  <si>
    <t>基本入住</t>
  </si>
  <si>
    <t>主卧床和日常家具；主卧空调、冰箱、洗烘一体机、烟灶、热水器。</t>
  </si>
  <si>
    <t>用现成电脑椅、空气炸锅、电饭锅；另一把电脑椅与双桌按布局补齐。</t>
  </si>
  <si>
    <t>首批家具＋首批家电</t>
  </si>
  <si>
    <t>优先后补</t>
  </si>
  <si>
    <t>客厅空调、电视、自动上下水机器人。</t>
  </si>
  <si>
    <t>客厅常用且有两台电脑；冬夏入住将客厅空调提前。电视与游戏主机位置先留。</t>
  </si>
  <si>
    <t>低频后买</t>
  </si>
  <si>
    <t>洗碗机、次卧客床。</t>
  </si>
  <si>
    <t>一年少量留宿；床形式在工位位置最终确定后选择。洗碗机位置已预留。</t>
  </si>
  <si>
    <t>按需升级</t>
  </si>
  <si>
    <t>次卧空调、净水器、智能锁、电动窗帘；新增浅顶柜先确定是否随硬装做。</t>
  </si>
  <si>
    <t>这些是备选，当前合计未包含；确认购买再把“计入”改为1。</t>
  </si>
  <si>
    <t>装修公司全包报价对照</t>
  </si>
  <si>
    <t>填写A/B/C公司分项金额与包含范围；同一范围对比。蓝色格填写实际报价，基准为“预算明细”的当前预留。</t>
  </si>
  <si>
    <t>本页只比较施工主材及门窗补充。请装修公司把设计、管理、成品保护、运输、安装、清运是否已含写清；额外服务费另列，已有包含项只计一次。</t>
  </si>
  <si>
    <t>统一范围</t>
  </si>
  <si>
    <t>规划预留</t>
  </si>
  <si>
    <t>公司A金额</t>
  </si>
  <si>
    <t>公司A范围/型号</t>
  </si>
  <si>
    <t>公司B金额</t>
  </si>
  <si>
    <t>公司B范围/型号</t>
  </si>
  <si>
    <t>公司C金额</t>
  </si>
  <si>
    <t>公司C范围/型号</t>
  </si>
  <si>
    <t>额外设计/管理/运输等服务费</t>
  </si>
  <si>
    <t>先核对是否已包含在分项或套餐；未包含的服务写范围后填写。</t>
  </si>
  <si>
    <t>同口径报价合计</t>
  </si>
  <si>
    <t>未填写全部必需范围前，合计只是已填金额；未报价/漏项不等于免费。</t>
  </si>
  <si>
    <t>备选：新增浅顶柜</t>
  </si>
  <si>
    <t>单独报新增五处柜体价格，原主卧顶柜扣重；本行不计入上方同口径必需报价合计。</t>
  </si>
  <si>
    <t>资料依据与现场待核</t>
  </si>
  <si>
    <t>本表预算是按需求拆项的规划估算；未获得装修公司现场报价，品牌与具体型号尚未最终选择。</t>
  </si>
  <si>
    <t>依据/事项</t>
  </si>
  <si>
    <t>内容</t>
  </si>
  <si>
    <t>状态</t>
  </si>
  <si>
    <t>来源或处理方式</t>
  </si>
  <si>
    <t>已标面积</t>
  </si>
  <si>
    <t>次卧8.03、主卧9.94、客餐厅25.6、厨房4.7、卫生间2.79、阳台3.34㎡，合计54.4㎡。约80㎡为用户给出的整房概况，不能直接等同施工净面积。</t>
  </si>
  <si>
    <t>图面资料，非实测</t>
  </si>
  <si>
    <t>https://github.com/Shengshenlan/zhuangxiu/blob/main/户型尺寸.json</t>
  </si>
  <si>
    <t>户型与净高</t>
  </si>
  <si>
    <t>主卧2.83×3.37m，次卧2.55×3.14m；厨房2.06×2.15m，阳台3.05×1.09m；净高约2.7m。</t>
  </si>
  <si>
    <t>尺寸图＋用户自述</t>
  </si>
  <si>
    <t>https://github.com/Shengshenlan/zhuangxiu/blob/main/用户提供/带尺寸户型图.jpg</t>
  </si>
  <si>
    <t>原始需求</t>
  </si>
  <si>
    <t>简装、顶柜挂衣杆帘子、猫活动、机器人上下水、主卧梳妆台；新问答更新了人数、工位、洗烘一体与卫生间方式。</t>
  </si>
  <si>
    <t>本次问答优先</t>
  </si>
  <si>
    <t>https://github.com/Shengshenlan/zhuangxiu/blob/main/user_demand.md</t>
  </si>
  <si>
    <t>小米家电范围</t>
  </si>
  <si>
    <t>已核对小米官网的1.5匹空调与洗烘12kg产品；官网页面存在促销及导航标价变化，预算按范围预留，不是当天到手价。</t>
  </si>
  <si>
    <t>2026-10-06检索</t>
  </si>
  <si>
    <t>https://www.mi.com/mijia-wash-dryers/clean-pro-10kg</t>
  </si>
  <si>
    <t>洗烘一体机产品</t>
  </si>
  <si>
    <t>米家洗衣机 洗烘12kg，官方购买页用于确认产品类型；本表不以旧单洗款代替洗烘一体预算。</t>
  </si>
  <si>
    <t>产品类型核验</t>
  </si>
  <si>
    <t>https://www.mi.com/shop/buy/detail?product_id=21556</t>
  </si>
  <si>
    <t>卧室空调产品</t>
  </si>
  <si>
    <t>巨省电 1.5匹新一级能效 小米空调官方购买页；具体能效、型号、外机位置与安装费用下单时再核对。</t>
  </si>
  <si>
    <t>产品方向核验</t>
  </si>
  <si>
    <t>https://www.mi.com/shop/buy/detail?product_id=13143</t>
  </si>
  <si>
    <t>床架外尺寸例子</t>
  </si>
  <si>
    <t>宜家松耶桑德：床垫180×200cm，床架外尺寸193×207cm。此项是尺寸核对示例，不代表已选此款。</t>
  </si>
  <si>
    <t>官方尺寸说明</t>
  </si>
  <si>
    <t>https://www.ikea.cn/cn/zh/p/songesand-bed-frame-white-60372511/</t>
  </si>
  <si>
    <t>预算取值</t>
  </si>
  <si>
    <t>低/高位为普通档简装规划范围；当前预留为逐项规划值；首批机动10%，向上取整至100元。费用没有套用未经核实的80㎡套餐单价。</t>
  </si>
  <si>
    <t>助手规划估算</t>
  </si>
  <si>
    <t>以现场工程量、品牌规格、统一范围全包报价替换；不是市场统一收费标准。</t>
  </si>
  <si>
    <t>全包服务计价</t>
  </si>
  <si>
    <t>施工管理、设计、成品保护及协调是否已在报价分项内需写清；若另收费，在报价对照单独填入，不与已含项目重复。</t>
  </si>
  <si>
    <t>公司报价时确认</t>
  </si>
  <si>
    <t>预算范围按常规简装总体占位；额外收费会占用机动资金，超过时需调整总额。</t>
  </si>
  <si>
    <t>客餐厅工位布局</t>
  </si>
  <si>
    <t>两台台式机各一屏；桌子靠阳台两侧墙，中间约82cm通路以58cm椅子收近为前提。餐桌折叠并移出展开。</t>
  </si>
  <si>
    <t>2026-10-06第2版；待复尺</t>
  </si>
  <si>
    <t>屏幕侧对窗，窗帘控制反光；测实际椅子、窗帘、门洞、线缆和主机。</t>
  </si>
  <si>
    <t>窗边工位采光</t>
  </si>
  <si>
    <t>屏幕与窗面尽量成直角，配窗帘调节反光；采用侧向来光的排布。</t>
  </si>
  <si>
    <t>官方工位环境建议</t>
  </si>
  <si>
    <t>https://www.osha.gov/etools/computer-workstations/workstation-environment</t>
  </si>
  <si>
    <t>新增顶柜固定</t>
  </si>
  <si>
    <t>柜底先按2.2m、顶2.65m；主卧门洞、工位和电视墙用30cm深浅柜，次卧柜补顶层；不只依靠装饰吊顶承重。</t>
  </si>
  <si>
    <t>板材与墙体待现场核对</t>
  </si>
  <si>
    <t>https://www.ikea.com.cy/files/Homepage/Howtobuyyourkitchen/ENHET_installation_guide_cy_en.pdf</t>
  </si>
  <si>
    <t>主卧布局</t>
  </si>
  <si>
    <t>1.8m宽、床长优先2.1m是助手建议；实测后用床架完整外尺寸排布，兼顾衣物区与梳妆台。</t>
  </si>
  <si>
    <t>待实测与试躺</t>
  </si>
  <si>
    <t>本版默认床头靠图面右侧墙，180×210cm床垫的窄边床架脚边约63cm；可切回原朝向或比较200cm床长。</t>
  </si>
  <si>
    <t>洗衣区与机器人</t>
  </si>
  <si>
    <t>洗烘一体机及机器人基站位置尚未最终定；需检查现有排水、进水、电源、柜深、开门与维修空间。</t>
  </si>
  <si>
    <t>待现场定位</t>
  </si>
  <si>
    <t>所有接口应先确定方案，设备允许后买。</t>
  </si>
  <si>
    <t>拆墙与旧基层</t>
  </si>
  <si>
    <t>客厅隔间恢复及全拆旧按需求列入；拆墙范围、结构条件、旧墙地面和管线状态由现场核对。</t>
  </si>
  <si>
    <t>施工前/拆后确认</t>
  </si>
  <si>
    <t>据实际可施工范围调整工程量，不以图片推定隐藏结构。</t>
  </si>
  <si>
    <t>门窗工程量</t>
  </si>
  <si>
    <t>量每樘窗、门洞及必要收口；窗户与猫防护套餐若已包含同一配件，相应预算扣除。</t>
  </si>
  <si>
    <t>待现场测量</t>
  </si>
  <si>
    <t>现有外窗全换，入户门换新；新增封阳台不与已有窗更换混为同一工程量。</t>
  </si>
  <si>
    <t>费用之外的现金</t>
  </si>
  <si>
    <t>可退装修押金、搬家运费、过渡居住开支、物业实际收费未获取，本表未计；金额确认后可另加。</t>
  </si>
  <si>
    <t>尚无实际金额</t>
  </si>
  <si>
    <t>可退押金属于临时现金占用；不可退项目按具体收费填入。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</si>
</sst>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"/>
  </numFmts>
  <fonts count="9">
    <font>
      <sz val="11"/>
      <color theme="1"/>
      <name val="Calibri"/>
      <family val="2"/>
      <scheme val="minor"/>
    </font>
    <font>
      <b/>
      <sz val="22"/>
      <color rgb="FFFFFFFF"/>
      <name val="Microsoft YaHei"/>
      <family val="2"/>
    </font>
    <font>
      <sz val="10"/>
      <color rgb="FF51707A"/>
      <name val="Microsoft YaHei"/>
      <family val="2"/>
    </font>
    <font>
      <sz val="10"/>
      <color rgb="FF53666F"/>
      <name val="Microsoft YaHei"/>
      <family val="2"/>
    </font>
    <font>
      <b/>
      <sz val="10"/>
      <color rgb="FFFFFFFF"/>
      <name val="Microsoft YaHei"/>
      <family val="2"/>
    </font>
    <font>
      <sz val="10"/>
      <color theme="1"/>
      <name val="Microsoft YaHei"/>
      <family val="2"/>
    </font>
    <font>
      <b/>
      <sz val="10"/>
      <color rgb="FF164E42"/>
      <name val="Microsoft YaHei"/>
      <family val="2"/>
    </font>
    <font>
      <sz val="10"/>
      <color rgb="FF245CC7"/>
      <name val="Microsoft YaHei"/>
      <family val="2"/>
    </font>
    <font>
      <u/>
      <sz val="10"/>
      <color rgb="FF245CC7"/>
      <name val="Microsoft YaHei"/>
      <family val="2"/>
    </font>
  </fonts>
  <fills count="8">
    <fill>
      <patternFill patternType="none"/>
    </fill>
    <fill>
      <patternFill patternType="gray125"/>
    </fill>
    <fill>
      <patternFill patternType="solid">
        <fgColor rgb="FF163D49"/>
        <bgColor indexed="64"/>
      </patternFill>
    </fill>
    <fill>
      <patternFill patternType="solid">
        <fgColor rgb="FFEEF4F5"/>
        <bgColor indexed="64"/>
      </patternFill>
    </fill>
    <fill>
      <patternFill patternType="solid">
        <fgColor rgb="FF216374"/>
        <bgColor indexed="64"/>
      </patternFill>
    </fill>
    <fill>
      <patternFill patternType="solid">
        <fgColor rgb="FFDDF0EA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EDF3FF"/>
        <bgColor indexed="64"/>
      </patternFill>
    </fill>
  </fills>
  <borders count="5">
    <border>
      <left/>
      <right/>
      <top/>
      <bottom/>
      <diagonal/>
    </border>
    <border>
      <left style="thin">
        <color rgb="FFD7E3E7"/>
      </left>
      <right style="thin">
        <color rgb="FFD7E3E7"/>
      </right>
      <top style="thin">
        <color rgb="FFD7E3E7"/>
      </top>
      <bottom style="thin">
        <color rgb="FFD7E3E7"/>
      </bottom>
      <diagonal/>
    </border>
    <border>
      <left style="thin">
        <color rgb="FF216374"/>
      </left>
      <right style="thin">
        <color rgb="FF216374"/>
      </right>
      <top style="thin">
        <color rgb="FF216374"/>
      </top>
      <bottom style="thin">
        <color rgb="FF216374"/>
      </bottom>
      <diagonal/>
    </border>
    <border>
      <left style="thin">
        <color rgb="FFDDE6E9"/>
      </left>
      <right style="thin">
        <color rgb="FFDDE6E9"/>
      </right>
      <top style="thin">
        <color rgb="FFDDE6E9"/>
      </top>
      <bottom style="thin">
        <color rgb="FFDDE6E9"/>
      </bottom>
      <diagonal/>
    </border>
    <border>
      <left style="thin">
        <color rgb="FFB8D6CC"/>
      </left>
      <right style="thin">
        <color rgb="FFB8D6CC"/>
      </right>
      <top style="thin">
        <color rgb="FFB8D6CC"/>
      </top>
      <bottom style="thin">
        <color rgb="FFB8D6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right" vertical="center"/>
    </xf>
    <xf numFmtId="0" fontId="6" fillId="5" borderId="4" xfId="0" applyFont="1" applyFill="1" applyBorder="1" applyAlignment="1">
      <alignment vertical="center" wrapText="1"/>
    </xf>
    <xf numFmtId="165" fontId="6" fillId="5" borderId="4" xfId="0" applyNumberFormat="1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164" fontId="7" fillId="7" borderId="3" xfId="0" applyNumberFormat="1" applyFont="1" applyFill="1" applyBorder="1" applyAlignment="1">
      <alignment vertical="center"/>
    </xf>
    <xf numFmtId="0" fontId="5" fillId="7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Shengshenlan/zhuangxiu/blob/main/&#25143;&#22411;&#23610;&#23544;.json" TargetMode="External"/><Relationship Id="rId2" Type="http://schemas.openxmlformats.org/officeDocument/2006/relationships/hyperlink" Target="https://github.com/Shengshenlan/zhuangxiu/blob/main/&#29992;&#25143;&#25552;&#20379;/&#24102;&#23610;&#23544;&#25143;&#22411;&#22270;.jpg" TargetMode="External"/><Relationship Id="rId3" Type="http://schemas.openxmlformats.org/officeDocument/2006/relationships/hyperlink" Target="https://github.com/Shengshenlan/zhuangxiu/blob/main/user_demand.md" TargetMode="External"/><Relationship Id="rId4" Type="http://schemas.openxmlformats.org/officeDocument/2006/relationships/hyperlink" Target="https://www.mi.com/mijia-wash-dryers/clean-pro-10kg" TargetMode="External"/><Relationship Id="rId5" Type="http://schemas.openxmlformats.org/officeDocument/2006/relationships/hyperlink" Target="https://www.mi.com/shop/buy/detail?product_id=21556" TargetMode="External"/><Relationship Id="rId6" Type="http://schemas.openxmlformats.org/officeDocument/2006/relationships/hyperlink" Target="https://www.mi.com/shop/buy/detail?product_id=13143" TargetMode="External"/><Relationship Id="rId7" Type="http://schemas.openxmlformats.org/officeDocument/2006/relationships/hyperlink" Target="https://www.ikea.cn/cn/zh/p/songesand-bed-frame-white-60372511/" TargetMode="External"/><Relationship Id="rId8" Type="http://schemas.openxmlformats.org/officeDocument/2006/relationships/hyperlink" Target="https://www.osha.gov/etools/computer-workstations/workstation-environment" TargetMode="External"/><Relationship Id="rId9" Type="http://schemas.openxmlformats.org/officeDocument/2006/relationships/hyperlink" Target="https://www.ikea.com.cy/files/Homepage/Howtobuyyourkitchen/ENHET_installation_guide_cy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showGridLines="0"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32" customHeight="1"/>
  <cols>
    <col min="1" max="1" width="25.7109375" customWidth="1"/>
    <col min="2" max="3" width="15.7109375" customWidth="1"/>
    <col min="4" max="4" width="17.7109375" customWidth="1"/>
    <col min="5" max="5" width="65.7109375" customWidth="1"/>
  </cols>
  <sheetData>
    <row r="1" spans="1:5" ht="44" customHeight="1">
      <c r="A1" s="1" t="s">
        <v>0</v>
      </c>
      <c r="B1" s="1"/>
      <c r="C1" s="1"/>
      <c r="D1" s="1"/>
      <c r="E1" s="1"/>
    </row>
    <row r="2" spans="1:5" ht="34" customHeight="1">
      <c r="A2" s="2" t="s">
        <v>1</v>
      </c>
      <c r="B2" s="2"/>
      <c r="C2" s="2"/>
      <c r="D2" s="2"/>
      <c r="E2" s="2"/>
    </row>
    <row r="4" spans="1:5" ht="42" customHeight="1">
      <c r="A4" s="3" t="s">
        <v>2</v>
      </c>
      <c r="B4" s="3"/>
      <c r="C4" s="3"/>
      <c r="D4" s="3"/>
      <c r="E4" s="3"/>
    </row>
    <row r="6" spans="1:5" ht="32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ht="58" customHeight="1">
      <c r="A7" s="5" t="s">
        <v>8</v>
      </c>
      <c r="B7" s="6">
        <f>SUMIFS(预算明细!E6:E45,预算明细!B6:B45,A7,预算明细!I6:I45,1)</f>
        <v>53100</v>
      </c>
      <c r="C7" s="6">
        <f>SUMIFS(预算明细!F6:F45,预算明细!B6:B45,A7,预算明细!I6:I45,1)</f>
        <v>79000</v>
      </c>
      <c r="D7" s="6">
        <f>SUMIFS(预算明细!G6:G45,预算明细!B6:B45,A7,预算明细!I6:I45,1)</f>
        <v>65200</v>
      </c>
      <c r="E7" s="5" t="s">
        <v>9</v>
      </c>
    </row>
    <row r="8" spans="1:5" ht="58" customHeight="1">
      <c r="A8" s="5" t="s">
        <v>10</v>
      </c>
      <c r="B8" s="6">
        <f>SUMIFS(预算明细!E6:E45,预算明细!B6:B45,A8,预算明细!I6:I45,1)</f>
        <v>10100</v>
      </c>
      <c r="C8" s="6">
        <f>SUMIFS(预算明细!F6:F45,预算明细!B6:B45,A8,预算明细!I6:I45,1)</f>
        <v>17500</v>
      </c>
      <c r="D8" s="6">
        <f>SUMIFS(预算明细!G6:G45,预算明细!B6:B45,A8,预算明细!I6:I45,1)</f>
        <v>13000</v>
      </c>
      <c r="E8" s="5" t="s">
        <v>11</v>
      </c>
    </row>
    <row r="9" spans="1:5" ht="58" customHeight="1">
      <c r="A9" s="5" t="s">
        <v>12</v>
      </c>
      <c r="B9" s="6">
        <f>SUMIFS(预算明细!E6:E45,预算明细!B6:B45,A9,预算明细!I6:I45,1)</f>
        <v>3800</v>
      </c>
      <c r="C9" s="6">
        <f>SUMIFS(预算明细!F6:F45,预算明细!B6:B45,A9,预算明细!I6:I45,1)</f>
        <v>7000</v>
      </c>
      <c r="D9" s="6">
        <f>SUMIFS(预算明细!G6:G45,预算明细!B6:B45,A9,预算明细!I6:I45,1)</f>
        <v>5200</v>
      </c>
      <c r="E9" s="5" t="s">
        <v>13</v>
      </c>
    </row>
    <row r="10" spans="1:5" ht="58" customHeight="1">
      <c r="A10" s="5" t="s">
        <v>14</v>
      </c>
      <c r="B10" s="6">
        <f>SUMIFS(预算明细!E6:E45,预算明细!B6:B45,A10,预算明细!I6:I45,1)</f>
        <v>9300</v>
      </c>
      <c r="C10" s="6">
        <f>SUMIFS(预算明细!F6:F45,预算明细!B6:B45,A10,预算明细!I6:I45,1)</f>
        <v>16500</v>
      </c>
      <c r="D10" s="6">
        <f>SUMIFS(预算明细!G6:G45,预算明细!B6:B45,A10,预算明细!I6:I45,1)</f>
        <v>12800</v>
      </c>
      <c r="E10" s="5" t="s">
        <v>15</v>
      </c>
    </row>
    <row r="11" spans="1:5" ht="58" customHeight="1">
      <c r="A11" s="5" t="s">
        <v>16</v>
      </c>
      <c r="B11" s="6">
        <f>SUMIFS(预算明细!E6:E45,预算明细!B6:B45,A11,预算明细!I6:I45,1)</f>
        <v>10300</v>
      </c>
      <c r="C11" s="6">
        <f>SUMIFS(预算明细!F6:F45,预算明细!B6:B45,A11,预算明细!I6:I45,1)</f>
        <v>15800</v>
      </c>
      <c r="D11" s="6">
        <f>SUMIFS(预算明细!G6:G45,预算明细!B6:B45,A11,预算明细!I6:I45,1)</f>
        <v>13100</v>
      </c>
      <c r="E11" s="5" t="s">
        <v>17</v>
      </c>
    </row>
    <row r="12" spans="1:5" ht="58" customHeight="1">
      <c r="A12" s="5" t="s">
        <v>18</v>
      </c>
      <c r="B12" s="6">
        <f>SUMIFS(预算明细!E6:E45,预算明细!B6:B45,A12,预算明细!I6:I45,1)</f>
        <v>8000</v>
      </c>
      <c r="C12" s="6">
        <f>SUMIFS(预算明细!F6:F45,预算明细!B6:B45,A12,预算明细!I6:I45,1)</f>
        <v>12500</v>
      </c>
      <c r="D12" s="6">
        <f>SUMIFS(预算明细!G6:G45,预算明细!B6:B45,A12,预算明细!I6:I45,1)</f>
        <v>9600</v>
      </c>
      <c r="E12" s="5" t="s">
        <v>19</v>
      </c>
    </row>
    <row r="13" spans="1:5" ht="58" customHeight="1">
      <c r="A13" s="5" t="s">
        <v>20</v>
      </c>
      <c r="B13" s="6">
        <f>SUMIFS(预算明细!E6:E45,预算明细!B6:B45,A13,预算明细!I6:I45,1)</f>
        <v>3500</v>
      </c>
      <c r="C13" s="6">
        <f>SUMIFS(预算明细!F6:F45,预算明细!B6:B45,A13,预算明细!I6:I45,1)</f>
        <v>5800</v>
      </c>
      <c r="D13" s="6">
        <f>SUMIFS(预算明细!G6:G45,预算明细!B6:B45,A13,预算明细!I6:I45,1)</f>
        <v>4400</v>
      </c>
      <c r="E13" s="5" t="s">
        <v>21</v>
      </c>
    </row>
    <row r="14" spans="1:5" ht="58" customHeight="1">
      <c r="A14" s="5" t="s">
        <v>22</v>
      </c>
      <c r="B14" s="6">
        <f>SUMIFS(预算明细!E6:E45,预算明细!B6:B45,A14,预算明细!I6:I45,1)</f>
        <v>0</v>
      </c>
      <c r="C14" s="6">
        <f>SUMIFS(预算明细!F6:F45,预算明细!B6:B45,A14,预算明细!I6:I45,1)</f>
        <v>0</v>
      </c>
      <c r="D14" s="6">
        <f>SUMIFS(预算明细!G6:G45,预算明细!B6:B45,A14,预算明细!I6:I45,1)</f>
        <v>0</v>
      </c>
      <c r="E14" s="5" t="s">
        <v>23</v>
      </c>
    </row>
    <row r="16" spans="1:5" ht="44" customHeight="1">
      <c r="A16" s="7" t="s">
        <v>24</v>
      </c>
      <c r="B16" s="8">
        <f>SUMIFS(预算明细!E6:E45,预算明细!H6:H45,"首批",预算明细!I6:I45,1)</f>
        <v>86600</v>
      </c>
      <c r="C16" s="8">
        <f>SUMIFS(预算明细!F6:F45,预算明细!H6:H45,"首批",预算明细!I6:I45,1)</f>
        <v>135800</v>
      </c>
      <c r="D16" s="8">
        <f>SUMIFS(预算明细!G6:G45,预算明细!H6:H45,"首批",预算明细!I6:I45,1)</f>
        <v>109300</v>
      </c>
      <c r="E16" s="7" t="s">
        <v>25</v>
      </c>
    </row>
    <row r="17" spans="1:5" ht="44" customHeight="1">
      <c r="A17" s="7" t="s">
        <v>26</v>
      </c>
      <c r="B17" s="8">
        <f>CEILING(B16*10%,100)</f>
        <v>8700</v>
      </c>
      <c r="C17" s="8">
        <f>CEILING(C16*10%,100)</f>
        <v>13600</v>
      </c>
      <c r="D17" s="8">
        <f>CEILING(D16*10%,100)</f>
        <v>11000</v>
      </c>
      <c r="E17" s="7" t="s">
        <v>27</v>
      </c>
    </row>
    <row r="18" spans="1:5" ht="44" customHeight="1">
      <c r="A18" s="7" t="s">
        <v>28</v>
      </c>
      <c r="B18" s="8">
        <f>B16+B17</f>
        <v>95300</v>
      </c>
      <c r="C18" s="8">
        <f>C16+C17</f>
        <v>149400</v>
      </c>
      <c r="D18" s="8">
        <f>D16+D17</f>
        <v>120300</v>
      </c>
      <c r="E18" s="7" t="s">
        <v>29</v>
      </c>
    </row>
    <row r="20" spans="1:5" ht="44" customHeight="1">
      <c r="A20" s="7" t="s">
        <v>30</v>
      </c>
      <c r="B20" s="8">
        <f>SUMIF(预算明细!I6:I45,1,预算明细!E6:E45)-B16</f>
        <v>11500</v>
      </c>
      <c r="C20" s="8">
        <f>SUMIF(预算明细!I6:I45,1,预算明细!F6:F45)-C16</f>
        <v>18300</v>
      </c>
      <c r="D20" s="8">
        <f>SUMIF(预算明细!I6:I45,1,预算明细!G6:G45)-D16</f>
        <v>14000</v>
      </c>
      <c r="E20" s="7" t="s">
        <v>31</v>
      </c>
    </row>
    <row r="21" spans="1:5" ht="44" customHeight="1">
      <c r="A21" s="7" t="s">
        <v>32</v>
      </c>
      <c r="B21" s="8">
        <f>B18+B20</f>
        <v>106800</v>
      </c>
      <c r="C21" s="8">
        <f>C18+C20</f>
        <v>167700</v>
      </c>
      <c r="D21" s="8">
        <f>D18+D20</f>
        <v>134300</v>
      </c>
      <c r="E21" s="7" t="s">
        <v>33</v>
      </c>
    </row>
    <row r="24" spans="1:5" ht="48" customHeight="1">
      <c r="A24" s="3" t="s">
        <v>34</v>
      </c>
      <c r="B24" s="3"/>
      <c r="C24" s="3"/>
      <c r="D24" s="3"/>
      <c r="E24" s="3"/>
    </row>
    <row r="26" spans="1:5" ht="48" customHeight="1">
      <c r="A26" s="3" t="s">
        <v>35</v>
      </c>
      <c r="B26" s="3"/>
      <c r="C26" s="3"/>
      <c r="D26" s="3"/>
      <c r="E26" s="3"/>
    </row>
    <row r="28" spans="1:5" ht="48" customHeight="1">
      <c r="A28" s="3" t="s">
        <v>36</v>
      </c>
      <c r="B28" s="3"/>
      <c r="C28" s="3"/>
      <c r="D28" s="3"/>
      <c r="E28" s="3"/>
    </row>
  </sheetData>
  <mergeCells count="6">
    <mergeCell ref="A1:E1"/>
    <mergeCell ref="A2:E2"/>
    <mergeCell ref="A4:E4"/>
    <mergeCell ref="A24:E24"/>
    <mergeCell ref="A26:E26"/>
    <mergeCell ref="A28:E28"/>
  </mergeCells>
  <pageMargins left="0.25" right="0.25" top="0.4" bottom="0.4" header="0.3" footer="0.3"/>
  <pageSetup paperSize="8" fitToHeight="0" orientation="landscape"/>
  <headerFooter>
    <oddHeader>&amp;C装修需求与预算 · 2026-10-06</oddHeader>
    <oddFooter>&amp;L规划估算，现场报价复核&amp;R第 &amp;P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32" customHeight="1"/>
  <cols>
    <col min="1" max="1" width="13.7109375" customWidth="1"/>
    <col min="2" max="2" width="19.7109375" customWidth="1"/>
    <col min="3" max="3" width="82.7109375" customWidth="1"/>
    <col min="4" max="4" width="27.7109375" customWidth="1"/>
  </cols>
  <sheetData>
    <row r="1" spans="1:4" ht="44" customHeight="1">
      <c r="A1" s="1" t="s">
        <v>37</v>
      </c>
      <c r="B1" s="1"/>
      <c r="C1" s="1"/>
      <c r="D1" s="1"/>
    </row>
    <row r="2" spans="1:4" ht="34" customHeight="1">
      <c r="A2" s="2" t="s">
        <v>38</v>
      </c>
      <c r="B2" s="2"/>
      <c r="C2" s="2"/>
      <c r="D2" s="2"/>
    </row>
    <row r="4" spans="1:4" ht="42" customHeight="1">
      <c r="A4" s="3" t="s">
        <v>39</v>
      </c>
      <c r="B4" s="3"/>
      <c r="C4" s="3"/>
      <c r="D4" s="3"/>
    </row>
    <row r="5" spans="1:4" ht="32" customHeight="1">
      <c r="A5" s="4" t="s">
        <v>40</v>
      </c>
      <c r="B5" s="4" t="s">
        <v>41</v>
      </c>
      <c r="C5" s="4" t="s">
        <v>42</v>
      </c>
      <c r="D5" s="4" t="s">
        <v>43</v>
      </c>
    </row>
    <row r="6" spans="1:4" ht="44" customHeight="1">
      <c r="A6" s="9" t="s">
        <v>44</v>
      </c>
      <c r="B6" s="9" t="s">
        <v>45</v>
      </c>
      <c r="C6" s="9" t="s">
        <v>46</v>
      </c>
      <c r="D6" s="9" t="s">
        <v>47</v>
      </c>
    </row>
    <row r="7" spans="1:4" ht="44" customHeight="1">
      <c r="A7" s="5" t="s">
        <v>44</v>
      </c>
      <c r="B7" s="5" t="s">
        <v>48</v>
      </c>
      <c r="C7" s="5" t="s">
        <v>49</v>
      </c>
      <c r="D7" s="5" t="s">
        <v>47</v>
      </c>
    </row>
    <row r="8" spans="1:4" ht="44" customHeight="1">
      <c r="A8" s="9" t="s">
        <v>44</v>
      </c>
      <c r="B8" s="9" t="s">
        <v>50</v>
      </c>
      <c r="C8" s="9" t="s">
        <v>51</v>
      </c>
      <c r="D8" s="9" t="s">
        <v>47</v>
      </c>
    </row>
    <row r="9" spans="1:4" ht="44" customHeight="1">
      <c r="A9" s="5" t="s">
        <v>44</v>
      </c>
      <c r="B9" s="5" t="s">
        <v>52</v>
      </c>
      <c r="C9" s="5" t="s">
        <v>53</v>
      </c>
      <c r="D9" s="5" t="s">
        <v>47</v>
      </c>
    </row>
    <row r="10" spans="1:4" ht="44" customHeight="1">
      <c r="A10" s="9" t="s">
        <v>44</v>
      </c>
      <c r="B10" s="9" t="s">
        <v>54</v>
      </c>
      <c r="C10" s="9" t="s">
        <v>55</v>
      </c>
      <c r="D10" s="9" t="s">
        <v>47</v>
      </c>
    </row>
    <row r="11" spans="1:4" ht="44" customHeight="1">
      <c r="A11" s="5" t="s">
        <v>44</v>
      </c>
      <c r="B11" s="5" t="s">
        <v>56</v>
      </c>
      <c r="C11" s="5" t="s">
        <v>57</v>
      </c>
      <c r="D11" s="5" t="s">
        <v>47</v>
      </c>
    </row>
    <row r="12" spans="1:4" ht="44" customHeight="1">
      <c r="A12" s="9" t="s">
        <v>44</v>
      </c>
      <c r="B12" s="9" t="s">
        <v>58</v>
      </c>
      <c r="C12" s="9" t="s">
        <v>59</v>
      </c>
      <c r="D12" s="9" t="s">
        <v>47</v>
      </c>
    </row>
    <row r="13" spans="1:4" ht="44" customHeight="1">
      <c r="A13" s="5" t="s">
        <v>60</v>
      </c>
      <c r="B13" s="5" t="s">
        <v>61</v>
      </c>
      <c r="C13" s="5" t="s">
        <v>62</v>
      </c>
      <c r="D13" s="5" t="s">
        <v>47</v>
      </c>
    </row>
    <row r="14" spans="1:4" ht="44" customHeight="1">
      <c r="A14" s="9" t="s">
        <v>60</v>
      </c>
      <c r="B14" s="9" t="s">
        <v>63</v>
      </c>
      <c r="C14" s="9" t="s">
        <v>64</v>
      </c>
      <c r="D14" s="9" t="s">
        <v>47</v>
      </c>
    </row>
    <row r="15" spans="1:4" ht="44" customHeight="1">
      <c r="A15" s="5" t="s">
        <v>60</v>
      </c>
      <c r="B15" s="5" t="s">
        <v>65</v>
      </c>
      <c r="C15" s="5" t="s">
        <v>66</v>
      </c>
      <c r="D15" s="5" t="s">
        <v>67</v>
      </c>
    </row>
    <row r="16" spans="1:4" ht="44" customHeight="1">
      <c r="A16" s="9" t="s">
        <v>68</v>
      </c>
      <c r="B16" s="9" t="s">
        <v>69</v>
      </c>
      <c r="C16" s="9" t="s">
        <v>70</v>
      </c>
      <c r="D16" s="9" t="s">
        <v>71</v>
      </c>
    </row>
    <row r="17" spans="1:4" ht="44" customHeight="1">
      <c r="A17" s="5" t="s">
        <v>68</v>
      </c>
      <c r="B17" s="5" t="s">
        <v>72</v>
      </c>
      <c r="C17" s="5" t="s">
        <v>73</v>
      </c>
      <c r="D17" s="5" t="s">
        <v>47</v>
      </c>
    </row>
    <row r="18" spans="1:4" ht="44" customHeight="1">
      <c r="A18" s="9" t="s">
        <v>68</v>
      </c>
      <c r="B18" s="9" t="s">
        <v>74</v>
      </c>
      <c r="C18" s="9" t="s">
        <v>75</v>
      </c>
      <c r="D18" s="9" t="s">
        <v>76</v>
      </c>
    </row>
    <row r="19" spans="1:4" ht="44" customHeight="1">
      <c r="A19" s="5" t="s">
        <v>77</v>
      </c>
      <c r="B19" s="5" t="s">
        <v>78</v>
      </c>
      <c r="C19" s="5" t="s">
        <v>79</v>
      </c>
      <c r="D19" s="5" t="s">
        <v>47</v>
      </c>
    </row>
    <row r="20" spans="1:4" ht="44" customHeight="1">
      <c r="A20" s="9" t="s">
        <v>80</v>
      </c>
      <c r="B20" s="9" t="s">
        <v>81</v>
      </c>
      <c r="C20" s="9" t="s">
        <v>82</v>
      </c>
      <c r="D20" s="9" t="s">
        <v>47</v>
      </c>
    </row>
    <row r="21" spans="1:4" ht="44" customHeight="1">
      <c r="A21" s="5" t="s">
        <v>80</v>
      </c>
      <c r="B21" s="5" t="s">
        <v>83</v>
      </c>
      <c r="C21" s="5" t="s">
        <v>84</v>
      </c>
      <c r="D21" s="5" t="s">
        <v>85</v>
      </c>
    </row>
    <row r="22" spans="1:4" ht="44" customHeight="1">
      <c r="A22" s="9" t="s">
        <v>80</v>
      </c>
      <c r="B22" s="9" t="s">
        <v>86</v>
      </c>
      <c r="C22" s="9" t="s">
        <v>87</v>
      </c>
      <c r="D22" s="9" t="s">
        <v>88</v>
      </c>
    </row>
    <row r="23" spans="1:4" ht="44" customHeight="1">
      <c r="A23" s="5" t="s">
        <v>89</v>
      </c>
      <c r="B23" s="5" t="s">
        <v>90</v>
      </c>
      <c r="C23" s="5" t="s">
        <v>91</v>
      </c>
      <c r="D23" s="5" t="s">
        <v>47</v>
      </c>
    </row>
    <row r="24" spans="1:4" ht="44" customHeight="1">
      <c r="A24" s="9" t="s">
        <v>89</v>
      </c>
      <c r="B24" s="9" t="s">
        <v>92</v>
      </c>
      <c r="C24" s="9" t="s">
        <v>93</v>
      </c>
      <c r="D24" s="9" t="s">
        <v>94</v>
      </c>
    </row>
    <row r="25" spans="1:4" ht="44" customHeight="1">
      <c r="A25" s="5" t="s">
        <v>68</v>
      </c>
      <c r="B25" s="5" t="s">
        <v>95</v>
      </c>
      <c r="C25" s="5" t="s">
        <v>96</v>
      </c>
      <c r="D25" s="5" t="s">
        <v>97</v>
      </c>
    </row>
    <row r="26" spans="1:4" ht="44" customHeight="1">
      <c r="A26" s="9" t="s">
        <v>72</v>
      </c>
      <c r="B26" s="9" t="s">
        <v>98</v>
      </c>
      <c r="C26" s="9" t="s">
        <v>99</v>
      </c>
      <c r="D26" s="9" t="s">
        <v>100</v>
      </c>
    </row>
    <row r="27" spans="1:4" ht="44" customHeight="1">
      <c r="A27" s="5" t="s">
        <v>101</v>
      </c>
      <c r="B27" s="5" t="s">
        <v>102</v>
      </c>
      <c r="C27" s="5" t="s">
        <v>103</v>
      </c>
      <c r="D27" s="5" t="s">
        <v>47</v>
      </c>
    </row>
    <row r="28" spans="1:4" ht="44" customHeight="1">
      <c r="A28" s="9" t="s">
        <v>101</v>
      </c>
      <c r="B28" s="9" t="s">
        <v>104</v>
      </c>
      <c r="C28" s="9" t="s">
        <v>105</v>
      </c>
      <c r="D28" s="9" t="s">
        <v>47</v>
      </c>
    </row>
    <row r="29" spans="1:4" ht="44" customHeight="1">
      <c r="A29" s="5" t="s">
        <v>101</v>
      </c>
      <c r="B29" s="5" t="s">
        <v>106</v>
      </c>
      <c r="C29" s="5" t="s">
        <v>107</v>
      </c>
      <c r="D29" s="5" t="s">
        <v>47</v>
      </c>
    </row>
    <row r="30" spans="1:4" ht="44" customHeight="1">
      <c r="A30" s="9" t="s">
        <v>108</v>
      </c>
      <c r="B30" s="9" t="s">
        <v>81</v>
      </c>
      <c r="C30" s="9" t="s">
        <v>109</v>
      </c>
      <c r="D30" s="9" t="s">
        <v>110</v>
      </c>
    </row>
    <row r="31" spans="1:4" ht="44" customHeight="1">
      <c r="A31" s="5" t="s">
        <v>111</v>
      </c>
      <c r="B31" s="5" t="s">
        <v>112</v>
      </c>
      <c r="C31" s="5" t="s">
        <v>113</v>
      </c>
      <c r="D31" s="5" t="s">
        <v>47</v>
      </c>
    </row>
    <row r="32" spans="1:4" ht="44" customHeight="1">
      <c r="A32" s="9" t="s">
        <v>114</v>
      </c>
      <c r="B32" s="9" t="s">
        <v>115</v>
      </c>
      <c r="C32" s="9" t="s">
        <v>116</v>
      </c>
      <c r="D32" s="9" t="s">
        <v>117</v>
      </c>
    </row>
    <row r="33" spans="1:4" ht="44" customHeight="1">
      <c r="A33" s="5" t="s">
        <v>114</v>
      </c>
      <c r="B33" s="5" t="s">
        <v>118</v>
      </c>
      <c r="C33" s="5" t="s">
        <v>119</v>
      </c>
      <c r="D33" s="5" t="s">
        <v>120</v>
      </c>
    </row>
    <row r="34" spans="1:4" ht="44" customHeight="1">
      <c r="A34" s="9" t="s">
        <v>121</v>
      </c>
      <c r="B34" s="9" t="s">
        <v>122</v>
      </c>
      <c r="C34" s="9" t="s">
        <v>123</v>
      </c>
      <c r="D34" s="9" t="s">
        <v>47</v>
      </c>
    </row>
    <row r="35" spans="1:4" ht="44" customHeight="1">
      <c r="A35" s="5" t="s">
        <v>124</v>
      </c>
      <c r="B35" s="5" t="s">
        <v>125</v>
      </c>
      <c r="C35" s="5" t="s">
        <v>126</v>
      </c>
      <c r="D35" s="5" t="s">
        <v>47</v>
      </c>
    </row>
    <row r="36" spans="1:4" ht="44" customHeight="1">
      <c r="A36" s="9" t="s">
        <v>127</v>
      </c>
      <c r="B36" s="9" t="s">
        <v>128</v>
      </c>
      <c r="C36" s="9" t="s">
        <v>129</v>
      </c>
      <c r="D36" s="9" t="s">
        <v>47</v>
      </c>
    </row>
    <row r="37" spans="1:4" ht="44" customHeight="1">
      <c r="A37" s="5" t="s">
        <v>130</v>
      </c>
      <c r="B37" s="5" t="s">
        <v>131</v>
      </c>
      <c r="C37" s="5" t="s">
        <v>132</v>
      </c>
      <c r="D37" s="5" t="s">
        <v>47</v>
      </c>
    </row>
    <row r="38" spans="1:4" ht="44" customHeight="1">
      <c r="A38" s="9" t="s">
        <v>133</v>
      </c>
      <c r="B38" s="9" t="s">
        <v>134</v>
      </c>
      <c r="C38" s="9" t="s">
        <v>135</v>
      </c>
      <c r="D38" s="9" t="s">
        <v>76</v>
      </c>
    </row>
    <row r="39" spans="1:4" ht="44" customHeight="1">
      <c r="A39" s="5" t="s">
        <v>136</v>
      </c>
      <c r="B39" s="5" t="s">
        <v>137</v>
      </c>
      <c r="C39" s="5" t="s">
        <v>138</v>
      </c>
      <c r="D39" s="5" t="s">
        <v>76</v>
      </c>
    </row>
  </sheetData>
  <autoFilter ref="A5:D39"/>
  <mergeCells count="3">
    <mergeCell ref="A1:D1"/>
    <mergeCell ref="A2:D2"/>
    <mergeCell ref="A4:D4"/>
  </mergeCells>
  <pageMargins left="0.25" right="0.25" top="0.4" bottom="0.4" header="0.3" footer="0.3"/>
  <pageSetup paperSize="8" fitToHeight="0" orientation="landscape"/>
  <headerFooter>
    <oddHeader>&amp;C装修需求与预算 · 2026-10-06</oddHeader>
    <oddFooter>&amp;L规划估算，现场报价复核&amp;R第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6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32" customHeight="1"/>
  <cols>
    <col min="1" max="1" width="7.7109375" customWidth="1"/>
    <col min="2" max="2" width="21.7109375" customWidth="1"/>
    <col min="3" max="3" width="28.7109375" customWidth="1"/>
    <col min="4" max="4" width="58.7109375" customWidth="1"/>
    <col min="5" max="6" width="12.7109375" customWidth="1"/>
    <col min="7" max="7" width="13.7109375" customWidth="1"/>
    <col min="8" max="9" width="10.7109375" customWidth="1"/>
    <col min="10" max="10" width="65.7109375" customWidth="1"/>
  </cols>
  <sheetData>
    <row r="1" spans="1:10" ht="44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 ht="34" customHeight="1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</row>
    <row r="4" spans="1:10" ht="40" customHeight="1">
      <c r="A4" s="3" t="s">
        <v>141</v>
      </c>
      <c r="B4" s="3"/>
      <c r="C4" s="3"/>
      <c r="D4" s="3"/>
      <c r="E4" s="3"/>
      <c r="F4" s="3"/>
      <c r="G4" s="3"/>
      <c r="H4" s="3"/>
      <c r="I4" s="3"/>
      <c r="J4" s="3"/>
    </row>
    <row r="5" spans="1:10" ht="32" customHeight="1">
      <c r="A5" s="4" t="s">
        <v>142</v>
      </c>
      <c r="B5" s="4" t="s">
        <v>3</v>
      </c>
      <c r="C5" s="4" t="s">
        <v>143</v>
      </c>
      <c r="D5" s="4" t="s">
        <v>144</v>
      </c>
      <c r="E5" s="4" t="s">
        <v>4</v>
      </c>
      <c r="F5" s="4" t="s">
        <v>5</v>
      </c>
      <c r="G5" s="4" t="s">
        <v>6</v>
      </c>
      <c r="H5" s="4" t="s">
        <v>145</v>
      </c>
      <c r="I5" s="4" t="s">
        <v>146</v>
      </c>
      <c r="J5" s="4" t="s">
        <v>147</v>
      </c>
    </row>
    <row r="6" spans="1:10" ht="78" customHeight="1">
      <c r="A6" s="9">
        <v>1</v>
      </c>
      <c r="B6" s="9" t="s">
        <v>8</v>
      </c>
      <c r="C6" s="9" t="s">
        <v>148</v>
      </c>
      <c r="D6" s="9" t="s">
        <v>149</v>
      </c>
      <c r="E6" s="6">
        <v>6000</v>
      </c>
      <c r="F6" s="6">
        <v>9000</v>
      </c>
      <c r="G6" s="10">
        <v>7500</v>
      </c>
      <c r="H6" s="10" t="s">
        <v>150</v>
      </c>
      <c r="I6" s="10">
        <v>1</v>
      </c>
      <c r="J6" s="9" t="s">
        <v>151</v>
      </c>
    </row>
    <row r="7" spans="1:10" ht="78" customHeight="1">
      <c r="A7" s="5">
        <v>2</v>
      </c>
      <c r="B7" s="5" t="s">
        <v>8</v>
      </c>
      <c r="C7" s="5" t="s">
        <v>152</v>
      </c>
      <c r="D7" s="5" t="s">
        <v>153</v>
      </c>
      <c r="E7" s="6">
        <v>8000</v>
      </c>
      <c r="F7" s="6">
        <v>11000</v>
      </c>
      <c r="G7" s="10">
        <v>9500</v>
      </c>
      <c r="H7" s="10" t="s">
        <v>150</v>
      </c>
      <c r="I7" s="10">
        <v>1</v>
      </c>
      <c r="J7" s="5" t="s">
        <v>154</v>
      </c>
    </row>
    <row r="8" spans="1:10" ht="78" customHeight="1">
      <c r="A8" s="9">
        <v>3</v>
      </c>
      <c r="B8" s="9" t="s">
        <v>8</v>
      </c>
      <c r="C8" s="9" t="s">
        <v>155</v>
      </c>
      <c r="D8" s="9" t="s">
        <v>156</v>
      </c>
      <c r="E8" s="6">
        <v>4500</v>
      </c>
      <c r="F8" s="6">
        <v>7500</v>
      </c>
      <c r="G8" s="10">
        <v>6000</v>
      </c>
      <c r="H8" s="10" t="s">
        <v>150</v>
      </c>
      <c r="I8" s="10">
        <v>1</v>
      </c>
      <c r="J8" s="9" t="s">
        <v>157</v>
      </c>
    </row>
    <row r="9" spans="1:10" ht="78" customHeight="1">
      <c r="A9" s="5">
        <v>4</v>
      </c>
      <c r="B9" s="5" t="s">
        <v>8</v>
      </c>
      <c r="C9" s="5" t="s">
        <v>158</v>
      </c>
      <c r="D9" s="5" t="s">
        <v>159</v>
      </c>
      <c r="E9" s="6">
        <v>11000</v>
      </c>
      <c r="F9" s="6">
        <v>15000</v>
      </c>
      <c r="G9" s="10">
        <v>13000</v>
      </c>
      <c r="H9" s="10" t="s">
        <v>150</v>
      </c>
      <c r="I9" s="10">
        <v>1</v>
      </c>
      <c r="J9" s="5" t="s">
        <v>160</v>
      </c>
    </row>
    <row r="10" spans="1:10" ht="78" customHeight="1">
      <c r="A10" s="9">
        <v>5</v>
      </c>
      <c r="B10" s="9" t="s">
        <v>8</v>
      </c>
      <c r="C10" s="9" t="s">
        <v>161</v>
      </c>
      <c r="D10" s="9" t="s">
        <v>162</v>
      </c>
      <c r="E10" s="6">
        <v>5500</v>
      </c>
      <c r="F10" s="6">
        <v>8000</v>
      </c>
      <c r="G10" s="10">
        <v>6500</v>
      </c>
      <c r="H10" s="10" t="s">
        <v>150</v>
      </c>
      <c r="I10" s="10">
        <v>1</v>
      </c>
      <c r="J10" s="9" t="s">
        <v>163</v>
      </c>
    </row>
    <row r="11" spans="1:10" ht="78" customHeight="1">
      <c r="A11" s="5">
        <v>6</v>
      </c>
      <c r="B11" s="5" t="s">
        <v>8</v>
      </c>
      <c r="C11" s="5" t="s">
        <v>164</v>
      </c>
      <c r="D11" s="5" t="s">
        <v>165</v>
      </c>
      <c r="E11" s="6">
        <v>1800</v>
      </c>
      <c r="F11" s="6">
        <v>3000</v>
      </c>
      <c r="G11" s="10">
        <v>2200</v>
      </c>
      <c r="H11" s="10" t="s">
        <v>150</v>
      </c>
      <c r="I11" s="10">
        <v>1</v>
      </c>
      <c r="J11" s="5" t="s">
        <v>166</v>
      </c>
    </row>
    <row r="12" spans="1:10" ht="78" customHeight="1">
      <c r="A12" s="9">
        <v>7</v>
      </c>
      <c r="B12" s="9" t="s">
        <v>8</v>
      </c>
      <c r="C12" s="9" t="s">
        <v>167</v>
      </c>
      <c r="D12" s="9" t="s">
        <v>168</v>
      </c>
      <c r="E12" s="6">
        <v>3500</v>
      </c>
      <c r="F12" s="6">
        <v>5500</v>
      </c>
      <c r="G12" s="10">
        <v>4500</v>
      </c>
      <c r="H12" s="10" t="s">
        <v>150</v>
      </c>
      <c r="I12" s="10">
        <v>1</v>
      </c>
      <c r="J12" s="9" t="s">
        <v>169</v>
      </c>
    </row>
    <row r="13" spans="1:10" ht="78" customHeight="1">
      <c r="A13" s="5">
        <v>8</v>
      </c>
      <c r="B13" s="5" t="s">
        <v>8</v>
      </c>
      <c r="C13" s="5" t="s">
        <v>170</v>
      </c>
      <c r="D13" s="5" t="s">
        <v>171</v>
      </c>
      <c r="E13" s="6">
        <v>6500</v>
      </c>
      <c r="F13" s="6">
        <v>9500</v>
      </c>
      <c r="G13" s="10">
        <v>8000</v>
      </c>
      <c r="H13" s="10" t="s">
        <v>150</v>
      </c>
      <c r="I13" s="10">
        <v>1</v>
      </c>
      <c r="J13" s="5" t="s">
        <v>172</v>
      </c>
    </row>
    <row r="14" spans="1:10" ht="78" customHeight="1">
      <c r="A14" s="9">
        <v>9</v>
      </c>
      <c r="B14" s="9" t="s">
        <v>8</v>
      </c>
      <c r="C14" s="9" t="s">
        <v>173</v>
      </c>
      <c r="D14" s="9" t="s">
        <v>174</v>
      </c>
      <c r="E14" s="6">
        <v>2800</v>
      </c>
      <c r="F14" s="6">
        <v>4500</v>
      </c>
      <c r="G14" s="10">
        <v>3500</v>
      </c>
      <c r="H14" s="10" t="s">
        <v>150</v>
      </c>
      <c r="I14" s="10">
        <v>1</v>
      </c>
      <c r="J14" s="9" t="s">
        <v>175</v>
      </c>
    </row>
    <row r="15" spans="1:10" ht="78" customHeight="1">
      <c r="A15" s="5">
        <v>10</v>
      </c>
      <c r="B15" s="5" t="s">
        <v>8</v>
      </c>
      <c r="C15" s="5" t="s">
        <v>176</v>
      </c>
      <c r="D15" s="5" t="s">
        <v>177</v>
      </c>
      <c r="E15" s="6">
        <v>3500</v>
      </c>
      <c r="F15" s="6">
        <v>6000</v>
      </c>
      <c r="G15" s="10">
        <v>4500</v>
      </c>
      <c r="H15" s="10" t="s">
        <v>150</v>
      </c>
      <c r="I15" s="10">
        <v>1</v>
      </c>
      <c r="J15" s="5" t="s">
        <v>178</v>
      </c>
    </row>
    <row r="16" spans="1:10" ht="78" customHeight="1">
      <c r="A16" s="9">
        <v>11</v>
      </c>
      <c r="B16" s="9" t="s">
        <v>10</v>
      </c>
      <c r="C16" s="9" t="s">
        <v>179</v>
      </c>
      <c r="D16" s="9" t="s">
        <v>180</v>
      </c>
      <c r="E16" s="6">
        <v>7000</v>
      </c>
      <c r="F16" s="6">
        <v>12000</v>
      </c>
      <c r="G16" s="10">
        <v>9000</v>
      </c>
      <c r="H16" s="10" t="s">
        <v>150</v>
      </c>
      <c r="I16" s="10">
        <v>1</v>
      </c>
      <c r="J16" s="9" t="s">
        <v>181</v>
      </c>
    </row>
    <row r="17" spans="1:10" ht="78" customHeight="1">
      <c r="A17" s="5">
        <v>12</v>
      </c>
      <c r="B17" s="5" t="s">
        <v>10</v>
      </c>
      <c r="C17" s="5" t="s">
        <v>182</v>
      </c>
      <c r="D17" s="5" t="s">
        <v>183</v>
      </c>
      <c r="E17" s="6">
        <v>2500</v>
      </c>
      <c r="F17" s="6">
        <v>4000</v>
      </c>
      <c r="G17" s="10">
        <v>3000</v>
      </c>
      <c r="H17" s="10" t="s">
        <v>150</v>
      </c>
      <c r="I17" s="10">
        <v>1</v>
      </c>
      <c r="J17" s="5" t="s">
        <v>184</v>
      </c>
    </row>
    <row r="18" spans="1:10" ht="78" customHeight="1">
      <c r="A18" s="9">
        <v>13</v>
      </c>
      <c r="B18" s="9" t="s">
        <v>10</v>
      </c>
      <c r="C18" s="9" t="s">
        <v>185</v>
      </c>
      <c r="D18" s="9" t="s">
        <v>186</v>
      </c>
      <c r="E18" s="6">
        <v>600</v>
      </c>
      <c r="F18" s="6">
        <v>1500</v>
      </c>
      <c r="G18" s="10">
        <v>1000</v>
      </c>
      <c r="H18" s="10" t="s">
        <v>150</v>
      </c>
      <c r="I18" s="10">
        <v>1</v>
      </c>
      <c r="J18" s="9" t="s">
        <v>187</v>
      </c>
    </row>
    <row r="19" spans="1:10" ht="78" customHeight="1">
      <c r="A19" s="5">
        <v>14</v>
      </c>
      <c r="B19" s="5" t="s">
        <v>12</v>
      </c>
      <c r="C19" s="5" t="s">
        <v>188</v>
      </c>
      <c r="D19" s="5" t="s">
        <v>189</v>
      </c>
      <c r="E19" s="6">
        <v>1800</v>
      </c>
      <c r="F19" s="6">
        <v>3000</v>
      </c>
      <c r="G19" s="10">
        <v>2400</v>
      </c>
      <c r="H19" s="10" t="s">
        <v>150</v>
      </c>
      <c r="I19" s="10">
        <v>1</v>
      </c>
      <c r="J19" s="5" t="s">
        <v>190</v>
      </c>
    </row>
    <row r="20" spans="1:10" ht="78" customHeight="1">
      <c r="A20" s="9">
        <v>15</v>
      </c>
      <c r="B20" s="9" t="s">
        <v>12</v>
      </c>
      <c r="C20" s="9" t="s">
        <v>191</v>
      </c>
      <c r="D20" s="9" t="s">
        <v>192</v>
      </c>
      <c r="E20" s="6">
        <v>1200</v>
      </c>
      <c r="F20" s="6">
        <v>2200</v>
      </c>
      <c r="G20" s="10">
        <v>1600</v>
      </c>
      <c r="H20" s="10" t="s">
        <v>150</v>
      </c>
      <c r="I20" s="10">
        <v>1</v>
      </c>
      <c r="J20" s="9" t="s">
        <v>193</v>
      </c>
    </row>
    <row r="21" spans="1:10" ht="78" customHeight="1">
      <c r="A21" s="5">
        <v>16</v>
      </c>
      <c r="B21" s="5" t="s">
        <v>12</v>
      </c>
      <c r="C21" s="5" t="s">
        <v>194</v>
      </c>
      <c r="D21" s="5" t="s">
        <v>195</v>
      </c>
      <c r="E21" s="6">
        <v>800</v>
      </c>
      <c r="F21" s="6">
        <v>1800</v>
      </c>
      <c r="G21" s="10">
        <v>1200</v>
      </c>
      <c r="H21" s="10" t="s">
        <v>150</v>
      </c>
      <c r="I21" s="10">
        <v>1</v>
      </c>
      <c r="J21" s="5" t="s">
        <v>196</v>
      </c>
    </row>
    <row r="22" spans="1:10" ht="78" customHeight="1">
      <c r="A22" s="9">
        <v>17</v>
      </c>
      <c r="B22" s="9" t="s">
        <v>14</v>
      </c>
      <c r="C22" s="9" t="s">
        <v>197</v>
      </c>
      <c r="D22" s="9" t="s">
        <v>198</v>
      </c>
      <c r="E22" s="6">
        <v>3500</v>
      </c>
      <c r="F22" s="6">
        <v>5500</v>
      </c>
      <c r="G22" s="10">
        <v>4500</v>
      </c>
      <c r="H22" s="10" t="s">
        <v>150</v>
      </c>
      <c r="I22" s="10">
        <v>1</v>
      </c>
      <c r="J22" s="9" t="s">
        <v>199</v>
      </c>
    </row>
    <row r="23" spans="1:10" ht="78" customHeight="1">
      <c r="A23" s="5">
        <v>18</v>
      </c>
      <c r="B23" s="5" t="s">
        <v>14</v>
      </c>
      <c r="C23" s="5" t="s">
        <v>200</v>
      </c>
      <c r="D23" s="5" t="s">
        <v>201</v>
      </c>
      <c r="E23" s="6">
        <v>1800</v>
      </c>
      <c r="F23" s="6">
        <v>3200</v>
      </c>
      <c r="G23" s="10">
        <v>2500</v>
      </c>
      <c r="H23" s="10" t="s">
        <v>150</v>
      </c>
      <c r="I23" s="10">
        <v>1</v>
      </c>
      <c r="J23" s="5" t="s">
        <v>202</v>
      </c>
    </row>
    <row r="24" spans="1:10" ht="78" customHeight="1">
      <c r="A24" s="9">
        <v>19</v>
      </c>
      <c r="B24" s="9" t="s">
        <v>14</v>
      </c>
      <c r="C24" s="9" t="s">
        <v>203</v>
      </c>
      <c r="D24" s="9" t="s">
        <v>204</v>
      </c>
      <c r="E24" s="6">
        <v>800</v>
      </c>
      <c r="F24" s="6">
        <v>1600</v>
      </c>
      <c r="G24" s="10">
        <v>1200</v>
      </c>
      <c r="H24" s="10" t="s">
        <v>150</v>
      </c>
      <c r="I24" s="10">
        <v>1</v>
      </c>
      <c r="J24" s="9" t="s">
        <v>205</v>
      </c>
    </row>
    <row r="25" spans="1:10" ht="78" customHeight="1">
      <c r="A25" s="5">
        <v>20</v>
      </c>
      <c r="B25" s="5" t="s">
        <v>14</v>
      </c>
      <c r="C25" s="5" t="s">
        <v>206</v>
      </c>
      <c r="D25" s="5" t="s">
        <v>207</v>
      </c>
      <c r="E25" s="6">
        <v>1000</v>
      </c>
      <c r="F25" s="6">
        <v>1800</v>
      </c>
      <c r="G25" s="10">
        <v>1400</v>
      </c>
      <c r="H25" s="10" t="s">
        <v>150</v>
      </c>
      <c r="I25" s="10">
        <v>1</v>
      </c>
      <c r="J25" s="5" t="s">
        <v>208</v>
      </c>
    </row>
    <row r="26" spans="1:10" ht="78" customHeight="1">
      <c r="A26" s="9">
        <v>21</v>
      </c>
      <c r="B26" s="9" t="s">
        <v>14</v>
      </c>
      <c r="C26" s="9" t="s">
        <v>209</v>
      </c>
      <c r="D26" s="9" t="s">
        <v>210</v>
      </c>
      <c r="E26" s="6">
        <v>600</v>
      </c>
      <c r="F26" s="6">
        <v>1200</v>
      </c>
      <c r="G26" s="10">
        <v>900</v>
      </c>
      <c r="H26" s="10" t="s">
        <v>150</v>
      </c>
      <c r="I26" s="10">
        <v>1</v>
      </c>
      <c r="J26" s="9" t="s">
        <v>211</v>
      </c>
    </row>
    <row r="27" spans="1:10" ht="78" customHeight="1">
      <c r="A27" s="5">
        <v>22</v>
      </c>
      <c r="B27" s="5" t="s">
        <v>14</v>
      </c>
      <c r="C27" s="5" t="s">
        <v>74</v>
      </c>
      <c r="D27" s="5" t="s">
        <v>212</v>
      </c>
      <c r="E27" s="6">
        <v>600</v>
      </c>
      <c r="F27" s="6">
        <v>1200</v>
      </c>
      <c r="G27" s="10">
        <v>800</v>
      </c>
      <c r="H27" s="10" t="s">
        <v>150</v>
      </c>
      <c r="I27" s="10">
        <v>1</v>
      </c>
      <c r="J27" s="5" t="s">
        <v>213</v>
      </c>
    </row>
    <row r="28" spans="1:10" ht="78" customHeight="1">
      <c r="A28" s="9">
        <v>23</v>
      </c>
      <c r="B28" s="9" t="s">
        <v>14</v>
      </c>
      <c r="C28" s="9" t="s">
        <v>214</v>
      </c>
      <c r="D28" s="9" t="s">
        <v>215</v>
      </c>
      <c r="E28" s="6">
        <v>1000</v>
      </c>
      <c r="F28" s="6">
        <v>2000</v>
      </c>
      <c r="G28" s="10">
        <v>1500</v>
      </c>
      <c r="H28" s="10" t="s">
        <v>150</v>
      </c>
      <c r="I28" s="10">
        <v>1</v>
      </c>
      <c r="J28" s="9" t="s">
        <v>216</v>
      </c>
    </row>
    <row r="29" spans="1:10" ht="78" customHeight="1">
      <c r="A29" s="5">
        <v>24</v>
      </c>
      <c r="B29" s="5" t="s">
        <v>16</v>
      </c>
      <c r="C29" s="5" t="s">
        <v>217</v>
      </c>
      <c r="D29" s="5" t="s">
        <v>218</v>
      </c>
      <c r="E29" s="6">
        <v>1800</v>
      </c>
      <c r="F29" s="6">
        <v>2500</v>
      </c>
      <c r="G29" s="10">
        <v>2200</v>
      </c>
      <c r="H29" s="10" t="s">
        <v>150</v>
      </c>
      <c r="I29" s="10">
        <v>1</v>
      </c>
      <c r="J29" s="5" t="s">
        <v>219</v>
      </c>
    </row>
    <row r="30" spans="1:10" ht="78" customHeight="1">
      <c r="A30" s="9">
        <v>25</v>
      </c>
      <c r="B30" s="9" t="s">
        <v>16</v>
      </c>
      <c r="C30" s="9" t="s">
        <v>220</v>
      </c>
      <c r="D30" s="9" t="s">
        <v>221</v>
      </c>
      <c r="E30" s="6">
        <v>2000</v>
      </c>
      <c r="F30" s="6">
        <v>3000</v>
      </c>
      <c r="G30" s="10">
        <v>2500</v>
      </c>
      <c r="H30" s="10" t="s">
        <v>150</v>
      </c>
      <c r="I30" s="10">
        <v>1</v>
      </c>
      <c r="J30" s="9" t="s">
        <v>222</v>
      </c>
    </row>
    <row r="31" spans="1:10" ht="78" customHeight="1">
      <c r="A31" s="5">
        <v>26</v>
      </c>
      <c r="B31" s="5" t="s">
        <v>16</v>
      </c>
      <c r="C31" s="5" t="s">
        <v>223</v>
      </c>
      <c r="D31" s="5" t="s">
        <v>224</v>
      </c>
      <c r="E31" s="6">
        <v>1900</v>
      </c>
      <c r="F31" s="6">
        <v>3000</v>
      </c>
      <c r="G31" s="10">
        <v>2500</v>
      </c>
      <c r="H31" s="10" t="s">
        <v>150</v>
      </c>
      <c r="I31" s="10">
        <v>1</v>
      </c>
      <c r="J31" s="5" t="s">
        <v>225</v>
      </c>
    </row>
    <row r="32" spans="1:10" ht="78" customHeight="1">
      <c r="A32" s="9">
        <v>27</v>
      </c>
      <c r="B32" s="9" t="s">
        <v>16</v>
      </c>
      <c r="C32" s="9" t="s">
        <v>226</v>
      </c>
      <c r="D32" s="9" t="s">
        <v>227</v>
      </c>
      <c r="E32" s="6">
        <v>1800</v>
      </c>
      <c r="F32" s="6">
        <v>2600</v>
      </c>
      <c r="G32" s="10">
        <v>2200</v>
      </c>
      <c r="H32" s="10" t="s">
        <v>150</v>
      </c>
      <c r="I32" s="10">
        <v>1</v>
      </c>
      <c r="J32" s="9" t="s">
        <v>228</v>
      </c>
    </row>
    <row r="33" spans="1:10" ht="78" customHeight="1">
      <c r="A33" s="5">
        <v>28</v>
      </c>
      <c r="B33" s="5" t="s">
        <v>16</v>
      </c>
      <c r="C33" s="5" t="s">
        <v>229</v>
      </c>
      <c r="D33" s="5" t="s">
        <v>230</v>
      </c>
      <c r="E33" s="6">
        <v>1500</v>
      </c>
      <c r="F33" s="6">
        <v>2300</v>
      </c>
      <c r="G33" s="10">
        <v>1900</v>
      </c>
      <c r="H33" s="10" t="s">
        <v>150</v>
      </c>
      <c r="I33" s="10">
        <v>1</v>
      </c>
      <c r="J33" s="5" t="s">
        <v>231</v>
      </c>
    </row>
    <row r="34" spans="1:10" ht="78" customHeight="1">
      <c r="A34" s="9">
        <v>29</v>
      </c>
      <c r="B34" s="9" t="s">
        <v>16</v>
      </c>
      <c r="C34" s="9" t="s">
        <v>232</v>
      </c>
      <c r="D34" s="9" t="s">
        <v>233</v>
      </c>
      <c r="E34" s="6">
        <v>1000</v>
      </c>
      <c r="F34" s="6">
        <v>1800</v>
      </c>
      <c r="G34" s="10">
        <v>1400</v>
      </c>
      <c r="H34" s="10" t="s">
        <v>150</v>
      </c>
      <c r="I34" s="10">
        <v>1</v>
      </c>
      <c r="J34" s="9" t="s">
        <v>234</v>
      </c>
    </row>
    <row r="35" spans="1:10" ht="78" customHeight="1">
      <c r="A35" s="5">
        <v>30</v>
      </c>
      <c r="B35" s="5" t="s">
        <v>16</v>
      </c>
      <c r="C35" s="5" t="s">
        <v>235</v>
      </c>
      <c r="D35" s="5" t="s">
        <v>236</v>
      </c>
      <c r="E35" s="6">
        <v>300</v>
      </c>
      <c r="F35" s="6">
        <v>600</v>
      </c>
      <c r="G35" s="10">
        <v>400</v>
      </c>
      <c r="H35" s="10" t="s">
        <v>150</v>
      </c>
      <c r="I35" s="10">
        <v>1</v>
      </c>
      <c r="J35" s="5" t="s">
        <v>237</v>
      </c>
    </row>
    <row r="36" spans="1:10" ht="78" customHeight="1">
      <c r="A36" s="9">
        <v>31</v>
      </c>
      <c r="B36" s="9" t="s">
        <v>18</v>
      </c>
      <c r="C36" s="9" t="s">
        <v>238</v>
      </c>
      <c r="D36" s="9" t="s">
        <v>239</v>
      </c>
      <c r="E36" s="6">
        <v>3000</v>
      </c>
      <c r="F36" s="6">
        <v>4500</v>
      </c>
      <c r="G36" s="10">
        <v>3500</v>
      </c>
      <c r="H36" s="10" t="s">
        <v>240</v>
      </c>
      <c r="I36" s="10">
        <v>1</v>
      </c>
      <c r="J36" s="9" t="s">
        <v>241</v>
      </c>
    </row>
    <row r="37" spans="1:10" ht="78" customHeight="1">
      <c r="A37" s="5">
        <v>32</v>
      </c>
      <c r="B37" s="5" t="s">
        <v>18</v>
      </c>
      <c r="C37" s="5" t="s">
        <v>242</v>
      </c>
      <c r="D37" s="5" t="s">
        <v>243</v>
      </c>
      <c r="E37" s="6">
        <v>2000</v>
      </c>
      <c r="F37" s="6">
        <v>3500</v>
      </c>
      <c r="G37" s="10">
        <v>2600</v>
      </c>
      <c r="H37" s="10" t="s">
        <v>240</v>
      </c>
      <c r="I37" s="10">
        <v>1</v>
      </c>
      <c r="J37" s="5" t="s">
        <v>244</v>
      </c>
    </row>
    <row r="38" spans="1:10" ht="78" customHeight="1">
      <c r="A38" s="9">
        <v>33</v>
      </c>
      <c r="B38" s="9" t="s">
        <v>18</v>
      </c>
      <c r="C38" s="9" t="s">
        <v>245</v>
      </c>
      <c r="D38" s="9" t="s">
        <v>246</v>
      </c>
      <c r="E38" s="6">
        <v>3000</v>
      </c>
      <c r="F38" s="6">
        <v>4500</v>
      </c>
      <c r="G38" s="10">
        <v>3500</v>
      </c>
      <c r="H38" s="10" t="s">
        <v>240</v>
      </c>
      <c r="I38" s="10">
        <v>1</v>
      </c>
      <c r="J38" s="9" t="s">
        <v>247</v>
      </c>
    </row>
    <row r="39" spans="1:10" ht="78" customHeight="1">
      <c r="A39" s="5">
        <v>34</v>
      </c>
      <c r="B39" s="5" t="s">
        <v>20</v>
      </c>
      <c r="C39" s="5" t="s">
        <v>104</v>
      </c>
      <c r="D39" s="5" t="s">
        <v>248</v>
      </c>
      <c r="E39" s="6">
        <v>2500</v>
      </c>
      <c r="F39" s="6">
        <v>4000</v>
      </c>
      <c r="G39" s="10">
        <v>3000</v>
      </c>
      <c r="H39" s="10" t="s">
        <v>240</v>
      </c>
      <c r="I39" s="10">
        <v>1</v>
      </c>
      <c r="J39" s="5" t="s">
        <v>249</v>
      </c>
    </row>
    <row r="40" spans="1:10" ht="78" customHeight="1">
      <c r="A40" s="9">
        <v>35</v>
      </c>
      <c r="B40" s="9" t="s">
        <v>20</v>
      </c>
      <c r="C40" s="9" t="s">
        <v>250</v>
      </c>
      <c r="D40" s="9" t="s">
        <v>251</v>
      </c>
      <c r="E40" s="6">
        <v>1000</v>
      </c>
      <c r="F40" s="6">
        <v>1800</v>
      </c>
      <c r="G40" s="10">
        <v>1400</v>
      </c>
      <c r="H40" s="10" t="s">
        <v>240</v>
      </c>
      <c r="I40" s="10">
        <v>1</v>
      </c>
      <c r="J40" s="9" t="s">
        <v>252</v>
      </c>
    </row>
    <row r="41" spans="1:10" ht="78" customHeight="1">
      <c r="A41" s="5">
        <v>36</v>
      </c>
      <c r="B41" s="5" t="s">
        <v>22</v>
      </c>
      <c r="C41" s="5" t="s">
        <v>253</v>
      </c>
      <c r="D41" s="5" t="s">
        <v>254</v>
      </c>
      <c r="E41" s="6">
        <v>1800</v>
      </c>
      <c r="F41" s="6">
        <v>2500</v>
      </c>
      <c r="G41" s="10">
        <v>2200</v>
      </c>
      <c r="H41" s="10" t="s">
        <v>255</v>
      </c>
      <c r="I41" s="10">
        <v>0</v>
      </c>
      <c r="J41" s="5" t="s">
        <v>256</v>
      </c>
    </row>
    <row r="42" spans="1:10" ht="78" customHeight="1">
      <c r="A42" s="9">
        <v>37</v>
      </c>
      <c r="B42" s="9" t="s">
        <v>22</v>
      </c>
      <c r="C42" s="9" t="s">
        <v>257</v>
      </c>
      <c r="D42" s="9" t="s">
        <v>258</v>
      </c>
      <c r="E42" s="6">
        <v>1000</v>
      </c>
      <c r="F42" s="6">
        <v>1800</v>
      </c>
      <c r="G42" s="10">
        <v>1400</v>
      </c>
      <c r="H42" s="10" t="s">
        <v>255</v>
      </c>
      <c r="I42" s="10">
        <v>0</v>
      </c>
      <c r="J42" s="9" t="s">
        <v>259</v>
      </c>
    </row>
    <row r="43" spans="1:10" ht="78" customHeight="1">
      <c r="A43" s="5">
        <v>38</v>
      </c>
      <c r="B43" s="5" t="s">
        <v>22</v>
      </c>
      <c r="C43" s="5" t="s">
        <v>260</v>
      </c>
      <c r="D43" s="5" t="s">
        <v>261</v>
      </c>
      <c r="E43" s="6">
        <v>600</v>
      </c>
      <c r="F43" s="6">
        <v>1500</v>
      </c>
      <c r="G43" s="10">
        <v>1000</v>
      </c>
      <c r="H43" s="10" t="s">
        <v>255</v>
      </c>
      <c r="I43" s="10">
        <v>0</v>
      </c>
      <c r="J43" s="5" t="s">
        <v>262</v>
      </c>
    </row>
    <row r="44" spans="1:10" ht="78" customHeight="1">
      <c r="A44" s="9">
        <v>39</v>
      </c>
      <c r="B44" s="9" t="s">
        <v>22</v>
      </c>
      <c r="C44" s="9" t="s">
        <v>263</v>
      </c>
      <c r="D44" s="9" t="s">
        <v>264</v>
      </c>
      <c r="E44" s="6">
        <v>1200</v>
      </c>
      <c r="F44" s="6">
        <v>2500</v>
      </c>
      <c r="G44" s="10">
        <v>1800</v>
      </c>
      <c r="H44" s="10" t="s">
        <v>255</v>
      </c>
      <c r="I44" s="10">
        <v>0</v>
      </c>
      <c r="J44" s="9" t="s">
        <v>265</v>
      </c>
    </row>
    <row r="45" spans="1:10" ht="78" customHeight="1">
      <c r="A45" s="5">
        <v>40</v>
      </c>
      <c r="B45" s="5" t="s">
        <v>22</v>
      </c>
      <c r="C45" s="5" t="s">
        <v>266</v>
      </c>
      <c r="D45" s="5" t="s">
        <v>267</v>
      </c>
      <c r="E45" s="6">
        <v>2500</v>
      </c>
      <c r="F45" s="6">
        <v>5500</v>
      </c>
      <c r="G45" s="10">
        <v>3500</v>
      </c>
      <c r="H45" s="10" t="s">
        <v>150</v>
      </c>
      <c r="I45" s="10">
        <v>0</v>
      </c>
      <c r="J45" s="5" t="s">
        <v>268</v>
      </c>
    </row>
    <row r="46" spans="1:10" ht="32" customHeight="1">
      <c r="C46" s="7" t="s">
        <v>269</v>
      </c>
      <c r="E46" s="8">
        <f>SUMIF(I6:I45,1,E6:E45)</f>
        <v>98100</v>
      </c>
      <c r="F46" s="8">
        <f>SUMIF(I6:I45,1,F6:F45)</f>
        <v>154100</v>
      </c>
      <c r="G46" s="8">
        <f>SUMIF(I6:I45,1,G6:G45)</f>
        <v>123300</v>
      </c>
      <c r="J46" s="7" t="s">
        <v>270</v>
      </c>
    </row>
  </sheetData>
  <autoFilter ref="A5:J45"/>
  <mergeCells count="3">
    <mergeCell ref="A1:J1"/>
    <mergeCell ref="A2:J2"/>
    <mergeCell ref="A4:J4"/>
  </mergeCells>
  <dataValidations count="120">
    <dataValidation type="decimal" operator="greaterThanOrEqual" allowBlank="1" showInputMessage="1" showErrorMessage="1" promptTitle="当前预留金额" prompt="请输入非负人民币金额，合计会更新。" sqref="G6">
      <formula1>0</formula1>
    </dataValidation>
    <dataValidation type="list" allowBlank="1" showInputMessage="1" showErrorMessage="1" sqref="I6">
      <formula1>"0,1"</formula1>
    </dataValidation>
    <dataValidation type="list" allowBlank="1" showInputMessage="1" showErrorMessage="1" sqref="H6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7">
      <formula1>0</formula1>
    </dataValidation>
    <dataValidation type="list" allowBlank="1" showInputMessage="1" showErrorMessage="1" sqref="I7">
      <formula1>"0,1"</formula1>
    </dataValidation>
    <dataValidation type="list" allowBlank="1" showInputMessage="1" showErrorMessage="1" sqref="H7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8">
      <formula1>0</formula1>
    </dataValidation>
    <dataValidation type="list" allowBlank="1" showInputMessage="1" showErrorMessage="1" sqref="I8">
      <formula1>"0,1"</formula1>
    </dataValidation>
    <dataValidation type="list" allowBlank="1" showInputMessage="1" showErrorMessage="1" sqref="H8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9">
      <formula1>0</formula1>
    </dataValidation>
    <dataValidation type="list" allowBlank="1" showInputMessage="1" showErrorMessage="1" sqref="I9">
      <formula1>"0,1"</formula1>
    </dataValidation>
    <dataValidation type="list" allowBlank="1" showInputMessage="1" showErrorMessage="1" sqref="H9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0">
      <formula1>0</formula1>
    </dataValidation>
    <dataValidation type="list" allowBlank="1" showInputMessage="1" showErrorMessage="1" sqref="I10">
      <formula1>"0,1"</formula1>
    </dataValidation>
    <dataValidation type="list" allowBlank="1" showInputMessage="1" showErrorMessage="1" sqref="H10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1">
      <formula1>0</formula1>
    </dataValidation>
    <dataValidation type="list" allowBlank="1" showInputMessage="1" showErrorMessage="1" sqref="I11">
      <formula1>"0,1"</formula1>
    </dataValidation>
    <dataValidation type="list" allowBlank="1" showInputMessage="1" showErrorMessage="1" sqref="H11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2">
      <formula1>0</formula1>
    </dataValidation>
    <dataValidation type="list" allowBlank="1" showInputMessage="1" showErrorMessage="1" sqref="I12">
      <formula1>"0,1"</formula1>
    </dataValidation>
    <dataValidation type="list" allowBlank="1" showInputMessage="1" showErrorMessage="1" sqref="H12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3">
      <formula1>0</formula1>
    </dataValidation>
    <dataValidation type="list" allowBlank="1" showInputMessage="1" showErrorMessage="1" sqref="I13">
      <formula1>"0,1"</formula1>
    </dataValidation>
    <dataValidation type="list" allowBlank="1" showInputMessage="1" showErrorMessage="1" sqref="H13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4">
      <formula1>0</formula1>
    </dataValidation>
    <dataValidation type="list" allowBlank="1" showInputMessage="1" showErrorMessage="1" sqref="I14">
      <formula1>"0,1"</formula1>
    </dataValidation>
    <dataValidation type="list" allowBlank="1" showInputMessage="1" showErrorMessage="1" sqref="H14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5">
      <formula1>0</formula1>
    </dataValidation>
    <dataValidation type="list" allowBlank="1" showInputMessage="1" showErrorMessage="1" sqref="I15">
      <formula1>"0,1"</formula1>
    </dataValidation>
    <dataValidation type="list" allowBlank="1" showInputMessage="1" showErrorMessage="1" sqref="H15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6">
      <formula1>0</formula1>
    </dataValidation>
    <dataValidation type="list" allowBlank="1" showInputMessage="1" showErrorMessage="1" sqref="I16">
      <formula1>"0,1"</formula1>
    </dataValidation>
    <dataValidation type="list" allowBlank="1" showInputMessage="1" showErrorMessage="1" sqref="H16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7">
      <formula1>0</formula1>
    </dataValidation>
    <dataValidation type="list" allowBlank="1" showInputMessage="1" showErrorMessage="1" sqref="I17">
      <formula1>"0,1"</formula1>
    </dataValidation>
    <dataValidation type="list" allowBlank="1" showInputMessage="1" showErrorMessage="1" sqref="H17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8">
      <formula1>0</formula1>
    </dataValidation>
    <dataValidation type="list" allowBlank="1" showInputMessage="1" showErrorMessage="1" sqref="I18">
      <formula1>"0,1"</formula1>
    </dataValidation>
    <dataValidation type="list" allowBlank="1" showInputMessage="1" showErrorMessage="1" sqref="H18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19">
      <formula1>0</formula1>
    </dataValidation>
    <dataValidation type="list" allowBlank="1" showInputMessage="1" showErrorMessage="1" sqref="I19">
      <formula1>"0,1"</formula1>
    </dataValidation>
    <dataValidation type="list" allowBlank="1" showInputMessage="1" showErrorMessage="1" sqref="H19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0">
      <formula1>0</formula1>
    </dataValidation>
    <dataValidation type="list" allowBlank="1" showInputMessage="1" showErrorMessage="1" sqref="I20">
      <formula1>"0,1"</formula1>
    </dataValidation>
    <dataValidation type="list" allowBlank="1" showInputMessage="1" showErrorMessage="1" sqref="H20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1">
      <formula1>0</formula1>
    </dataValidation>
    <dataValidation type="list" allowBlank="1" showInputMessage="1" showErrorMessage="1" sqref="I21">
      <formula1>"0,1"</formula1>
    </dataValidation>
    <dataValidation type="list" allowBlank="1" showInputMessage="1" showErrorMessage="1" sqref="H21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2">
      <formula1>0</formula1>
    </dataValidation>
    <dataValidation type="list" allowBlank="1" showInputMessage="1" showErrorMessage="1" sqref="I22">
      <formula1>"0,1"</formula1>
    </dataValidation>
    <dataValidation type="list" allowBlank="1" showInputMessage="1" showErrorMessage="1" sqref="H22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3">
      <formula1>0</formula1>
    </dataValidation>
    <dataValidation type="list" allowBlank="1" showInputMessage="1" showErrorMessage="1" sqref="I23">
      <formula1>"0,1"</formula1>
    </dataValidation>
    <dataValidation type="list" allowBlank="1" showInputMessage="1" showErrorMessage="1" sqref="H23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4">
      <formula1>0</formula1>
    </dataValidation>
    <dataValidation type="list" allowBlank="1" showInputMessage="1" showErrorMessage="1" sqref="I24">
      <formula1>"0,1"</formula1>
    </dataValidation>
    <dataValidation type="list" allowBlank="1" showInputMessage="1" showErrorMessage="1" sqref="H24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5">
      <formula1>0</formula1>
    </dataValidation>
    <dataValidation type="list" allowBlank="1" showInputMessage="1" showErrorMessage="1" sqref="I25">
      <formula1>"0,1"</formula1>
    </dataValidation>
    <dataValidation type="list" allowBlank="1" showInputMessage="1" showErrorMessage="1" sqref="H25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6">
      <formula1>0</formula1>
    </dataValidation>
    <dataValidation type="list" allowBlank="1" showInputMessage="1" showErrorMessage="1" sqref="I26">
      <formula1>"0,1"</formula1>
    </dataValidation>
    <dataValidation type="list" allowBlank="1" showInputMessage="1" showErrorMessage="1" sqref="H26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7">
      <formula1>0</formula1>
    </dataValidation>
    <dataValidation type="list" allowBlank="1" showInputMessage="1" showErrorMessage="1" sqref="I27">
      <formula1>"0,1"</formula1>
    </dataValidation>
    <dataValidation type="list" allowBlank="1" showInputMessage="1" showErrorMessage="1" sqref="H27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8">
      <formula1>0</formula1>
    </dataValidation>
    <dataValidation type="list" allowBlank="1" showInputMessage="1" showErrorMessage="1" sqref="I28">
      <formula1>"0,1"</formula1>
    </dataValidation>
    <dataValidation type="list" allowBlank="1" showInputMessage="1" showErrorMessage="1" sqref="H28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29">
      <formula1>0</formula1>
    </dataValidation>
    <dataValidation type="list" allowBlank="1" showInputMessage="1" showErrorMessage="1" sqref="I29">
      <formula1>"0,1"</formula1>
    </dataValidation>
    <dataValidation type="list" allowBlank="1" showInputMessage="1" showErrorMessage="1" sqref="H29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0">
      <formula1>0</formula1>
    </dataValidation>
    <dataValidation type="list" allowBlank="1" showInputMessage="1" showErrorMessage="1" sqref="I30">
      <formula1>"0,1"</formula1>
    </dataValidation>
    <dataValidation type="list" allowBlank="1" showInputMessage="1" showErrorMessage="1" sqref="H30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1">
      <formula1>0</formula1>
    </dataValidation>
    <dataValidation type="list" allowBlank="1" showInputMessage="1" showErrorMessage="1" sqref="I31">
      <formula1>"0,1"</formula1>
    </dataValidation>
    <dataValidation type="list" allowBlank="1" showInputMessage="1" showErrorMessage="1" sqref="H31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2">
      <formula1>0</formula1>
    </dataValidation>
    <dataValidation type="list" allowBlank="1" showInputMessage="1" showErrorMessage="1" sqref="I32">
      <formula1>"0,1"</formula1>
    </dataValidation>
    <dataValidation type="list" allowBlank="1" showInputMessage="1" showErrorMessage="1" sqref="H32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3">
      <formula1>0</formula1>
    </dataValidation>
    <dataValidation type="list" allowBlank="1" showInputMessage="1" showErrorMessage="1" sqref="I33">
      <formula1>"0,1"</formula1>
    </dataValidation>
    <dataValidation type="list" allowBlank="1" showInputMessage="1" showErrorMessage="1" sqref="H33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4">
      <formula1>0</formula1>
    </dataValidation>
    <dataValidation type="list" allowBlank="1" showInputMessage="1" showErrorMessage="1" sqref="I34">
      <formula1>"0,1"</formula1>
    </dataValidation>
    <dataValidation type="list" allowBlank="1" showInputMessage="1" showErrorMessage="1" sqref="H34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5">
      <formula1>0</formula1>
    </dataValidation>
    <dataValidation type="list" allowBlank="1" showInputMessage="1" showErrorMessage="1" sqref="I35">
      <formula1>"0,1"</formula1>
    </dataValidation>
    <dataValidation type="list" allowBlank="1" showInputMessage="1" showErrorMessage="1" sqref="H35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6">
      <formula1>0</formula1>
    </dataValidation>
    <dataValidation type="list" allowBlank="1" showInputMessage="1" showErrorMessage="1" sqref="I36">
      <formula1>"0,1"</formula1>
    </dataValidation>
    <dataValidation type="list" allowBlank="1" showInputMessage="1" showErrorMessage="1" sqref="H36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7">
      <formula1>0</formula1>
    </dataValidation>
    <dataValidation type="list" allowBlank="1" showInputMessage="1" showErrorMessage="1" sqref="I37">
      <formula1>"0,1"</formula1>
    </dataValidation>
    <dataValidation type="list" allowBlank="1" showInputMessage="1" showErrorMessage="1" sqref="H37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8">
      <formula1>0</formula1>
    </dataValidation>
    <dataValidation type="list" allowBlank="1" showInputMessage="1" showErrorMessage="1" sqref="I38">
      <formula1>"0,1"</formula1>
    </dataValidation>
    <dataValidation type="list" allowBlank="1" showInputMessage="1" showErrorMessage="1" sqref="H38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39">
      <formula1>0</formula1>
    </dataValidation>
    <dataValidation type="list" allowBlank="1" showInputMessage="1" showErrorMessage="1" sqref="I39">
      <formula1>"0,1"</formula1>
    </dataValidation>
    <dataValidation type="list" allowBlank="1" showInputMessage="1" showErrorMessage="1" sqref="H39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40">
      <formula1>0</formula1>
    </dataValidation>
    <dataValidation type="list" allowBlank="1" showInputMessage="1" showErrorMessage="1" sqref="I40">
      <formula1>"0,1"</formula1>
    </dataValidation>
    <dataValidation type="list" allowBlank="1" showInputMessage="1" showErrorMessage="1" sqref="H40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41">
      <formula1>0</formula1>
    </dataValidation>
    <dataValidation type="list" allowBlank="1" showInputMessage="1" showErrorMessage="1" sqref="I41">
      <formula1>"0,1"</formula1>
    </dataValidation>
    <dataValidation type="list" allowBlank="1" showInputMessage="1" showErrorMessage="1" sqref="H41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42">
      <formula1>0</formula1>
    </dataValidation>
    <dataValidation type="list" allowBlank="1" showInputMessage="1" showErrorMessage="1" sqref="I42">
      <formula1>"0,1"</formula1>
    </dataValidation>
    <dataValidation type="list" allowBlank="1" showInputMessage="1" showErrorMessage="1" sqref="H42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43">
      <formula1>0</formula1>
    </dataValidation>
    <dataValidation type="list" allowBlank="1" showInputMessage="1" showErrorMessage="1" sqref="I43">
      <formula1>"0,1"</formula1>
    </dataValidation>
    <dataValidation type="list" allowBlank="1" showInputMessage="1" showErrorMessage="1" sqref="H43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44">
      <formula1>0</formula1>
    </dataValidation>
    <dataValidation type="list" allowBlank="1" showInputMessage="1" showErrorMessage="1" sqref="I44">
      <formula1>"0,1"</formula1>
    </dataValidation>
    <dataValidation type="list" allowBlank="1" showInputMessage="1" showErrorMessage="1" sqref="H44">
      <formula1>"首批,后补,可选"</formula1>
    </dataValidation>
    <dataValidation type="decimal" operator="greaterThanOrEqual" allowBlank="1" showInputMessage="1" showErrorMessage="1" promptTitle="当前预留金额" prompt="请输入非负人民币金额，合计会更新。" sqref="G45">
      <formula1>0</formula1>
    </dataValidation>
    <dataValidation type="list" allowBlank="1" showInputMessage="1" showErrorMessage="1" sqref="I45">
      <formula1>"0,1"</formula1>
    </dataValidation>
    <dataValidation type="list" allowBlank="1" showInputMessage="1" showErrorMessage="1" sqref="H45">
      <formula1>"首批,后补,可选"</formula1>
    </dataValidation>
  </dataValidations>
  <pageMargins left="0.25" right="0.25" top="0.4" bottom="0.4" header="0.3" footer="0.3"/>
  <pageSetup paperSize="8" fitToHeight="0" orientation="landscape"/>
  <headerFooter>
    <oddHeader>&amp;C装修需求与预算 · 2026-10-06</oddHeader>
    <oddFooter>&amp;L规划估算，现场报价复核&amp;R第 &amp;P /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2" customHeight="1"/>
  <cols>
    <col min="1" max="1" width="18.7109375" customWidth="1"/>
    <col min="2" max="2" width="55.7109375" customWidth="1"/>
    <col min="3" max="3" width="62.7109375" customWidth="1"/>
    <col min="4" max="4" width="23.7109375" customWidth="1"/>
  </cols>
  <sheetData>
    <row r="1" spans="1:4" ht="44" customHeight="1">
      <c r="A1" s="1" t="s">
        <v>271</v>
      </c>
      <c r="B1" s="1"/>
      <c r="C1" s="1"/>
      <c r="D1" s="1"/>
    </row>
    <row r="2" spans="1:4" ht="34" customHeight="1">
      <c r="A2" s="2" t="s">
        <v>272</v>
      </c>
      <c r="B2" s="2"/>
      <c r="C2" s="2"/>
      <c r="D2" s="2"/>
    </row>
    <row r="5" spans="1:4" ht="32" customHeight="1">
      <c r="A5" s="4" t="s">
        <v>145</v>
      </c>
      <c r="B5" s="4" t="s">
        <v>273</v>
      </c>
      <c r="C5" s="4" t="s">
        <v>274</v>
      </c>
      <c r="D5" s="4" t="s">
        <v>275</v>
      </c>
    </row>
    <row r="6" spans="1:4" ht="88" customHeight="1">
      <c r="A6" s="9" t="s">
        <v>276</v>
      </c>
      <c r="B6" s="9" t="s">
        <v>277</v>
      </c>
      <c r="C6" s="9" t="s">
        <v>278</v>
      </c>
      <c r="D6" s="9" t="s">
        <v>279</v>
      </c>
    </row>
    <row r="7" spans="1:4" ht="88" customHeight="1">
      <c r="A7" s="5" t="s">
        <v>280</v>
      </c>
      <c r="B7" s="5" t="s">
        <v>281</v>
      </c>
      <c r="C7" s="5" t="s">
        <v>282</v>
      </c>
      <c r="D7" s="5" t="s">
        <v>8</v>
      </c>
    </row>
    <row r="8" spans="1:4" ht="88" customHeight="1">
      <c r="A8" s="9" t="s">
        <v>283</v>
      </c>
      <c r="B8" s="9" t="s">
        <v>284</v>
      </c>
      <c r="C8" s="9" t="s">
        <v>285</v>
      </c>
      <c r="D8" s="9" t="s">
        <v>286</v>
      </c>
    </row>
    <row r="9" spans="1:4" ht="88" customHeight="1">
      <c r="A9" s="5" t="s">
        <v>287</v>
      </c>
      <c r="B9" s="5" t="s">
        <v>288</v>
      </c>
      <c r="C9" s="5" t="s">
        <v>289</v>
      </c>
      <c r="D9" s="5" t="s">
        <v>290</v>
      </c>
    </row>
    <row r="10" spans="1:4" ht="88" customHeight="1">
      <c r="A10" s="9" t="s">
        <v>291</v>
      </c>
      <c r="B10" s="9" t="s">
        <v>292</v>
      </c>
      <c r="C10" s="9" t="s">
        <v>293</v>
      </c>
      <c r="D10" s="9" t="s">
        <v>18</v>
      </c>
    </row>
    <row r="11" spans="1:4" ht="88" customHeight="1">
      <c r="A11" s="5" t="s">
        <v>294</v>
      </c>
      <c r="B11" s="5" t="s">
        <v>295</v>
      </c>
      <c r="C11" s="5" t="s">
        <v>296</v>
      </c>
      <c r="D11" s="5" t="s">
        <v>20</v>
      </c>
    </row>
    <row r="12" spans="1:4" ht="88" customHeight="1">
      <c r="A12" s="9" t="s">
        <v>297</v>
      </c>
      <c r="B12" s="9" t="s">
        <v>298</v>
      </c>
      <c r="C12" s="9" t="s">
        <v>299</v>
      </c>
      <c r="D12" s="9" t="s">
        <v>22</v>
      </c>
    </row>
  </sheetData>
  <mergeCells count="2">
    <mergeCell ref="A1:D1"/>
    <mergeCell ref="A2:D2"/>
  </mergeCells>
  <pageMargins left="0.25" right="0.25" top="0.4" bottom="0.4" header="0.3" footer="0.3"/>
  <pageSetup paperSize="8" fitToHeight="0" orientation="landscape"/>
  <headerFooter>
    <oddHeader>&amp;C装修需求与预算 · 2026-10-06</oddHeader>
    <oddFooter>&amp;L规划估算，现场报价复核&amp;R第 &amp;P /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32" customHeight="1"/>
  <cols>
    <col min="1" max="1" width="26.7109375" customWidth="1"/>
    <col min="2" max="2" width="57.7109375" customWidth="1"/>
    <col min="3" max="3" width="13.7109375" customWidth="1"/>
    <col min="4" max="4" width="14.7109375" customWidth="1"/>
    <col min="5" max="5" width="30.7109375" customWidth="1"/>
    <col min="6" max="6" width="14.7109375" customWidth="1"/>
    <col min="7" max="7" width="30.7109375" customWidth="1"/>
    <col min="8" max="8" width="14.7109375" customWidth="1"/>
    <col min="9" max="9" width="30.7109375" customWidth="1"/>
  </cols>
  <sheetData>
    <row r="1" spans="1:9" ht="44" customHeight="1">
      <c r="A1" s="1" t="s">
        <v>300</v>
      </c>
      <c r="B1" s="1"/>
      <c r="C1" s="1"/>
      <c r="D1" s="1"/>
      <c r="E1" s="1"/>
      <c r="F1" s="1"/>
      <c r="G1" s="1"/>
      <c r="H1" s="1"/>
      <c r="I1" s="1"/>
    </row>
    <row r="2" spans="1:9" ht="34" customHeight="1">
      <c r="A2" s="2" t="s">
        <v>301</v>
      </c>
      <c r="B2" s="2"/>
      <c r="C2" s="2"/>
      <c r="D2" s="2"/>
      <c r="E2" s="2"/>
      <c r="F2" s="2"/>
      <c r="G2" s="2"/>
      <c r="H2" s="2"/>
      <c r="I2" s="2"/>
    </row>
    <row r="4" spans="1:9" ht="44" customHeight="1">
      <c r="A4" s="3" t="s">
        <v>302</v>
      </c>
      <c r="B4" s="3"/>
      <c r="C4" s="3"/>
      <c r="D4" s="3"/>
      <c r="E4" s="3"/>
      <c r="F4" s="3"/>
      <c r="G4" s="3"/>
      <c r="H4" s="3"/>
      <c r="I4" s="3"/>
    </row>
    <row r="5" spans="1:9" ht="32" customHeight="1">
      <c r="A5" s="4" t="s">
        <v>143</v>
      </c>
      <c r="B5" s="4" t="s">
        <v>303</v>
      </c>
      <c r="C5" s="4" t="s">
        <v>304</v>
      </c>
      <c r="D5" s="4" t="s">
        <v>305</v>
      </c>
      <c r="E5" s="4" t="s">
        <v>306</v>
      </c>
      <c r="F5" s="4" t="s">
        <v>307</v>
      </c>
      <c r="G5" s="4" t="s">
        <v>308</v>
      </c>
      <c r="H5" s="4" t="s">
        <v>309</v>
      </c>
      <c r="I5" s="4" t="s">
        <v>310</v>
      </c>
    </row>
    <row r="6" spans="1:9" ht="68" customHeight="1">
      <c r="A6" s="5" t="s">
        <v>148</v>
      </c>
      <c r="B6" s="5" t="s">
        <v>149</v>
      </c>
      <c r="C6" s="6">
        <f>预算明细!G6</f>
        <v>7500</v>
      </c>
      <c r="D6" s="11"/>
      <c r="E6" s="11"/>
      <c r="F6" s="11"/>
      <c r="G6" s="11"/>
      <c r="H6" s="11"/>
      <c r="I6" s="11"/>
    </row>
    <row r="7" spans="1:9" ht="68" customHeight="1">
      <c r="A7" s="5" t="s">
        <v>152</v>
      </c>
      <c r="B7" s="5" t="s">
        <v>153</v>
      </c>
      <c r="C7" s="6">
        <f>预算明细!G7</f>
        <v>9500</v>
      </c>
      <c r="D7" s="11"/>
      <c r="E7" s="11"/>
      <c r="F7" s="11"/>
      <c r="G7" s="11"/>
      <c r="H7" s="11"/>
      <c r="I7" s="11"/>
    </row>
    <row r="8" spans="1:9" ht="68" customHeight="1">
      <c r="A8" s="5" t="s">
        <v>155</v>
      </c>
      <c r="B8" s="5" t="s">
        <v>156</v>
      </c>
      <c r="C8" s="6">
        <f>预算明细!G8</f>
        <v>6000</v>
      </c>
      <c r="D8" s="11"/>
      <c r="E8" s="11"/>
      <c r="F8" s="11"/>
      <c r="G8" s="11"/>
      <c r="H8" s="11"/>
      <c r="I8" s="11"/>
    </row>
    <row r="9" spans="1:9" ht="68" customHeight="1">
      <c r="A9" s="5" t="s">
        <v>158</v>
      </c>
      <c r="B9" s="5" t="s">
        <v>159</v>
      </c>
      <c r="C9" s="6">
        <f>预算明细!G9</f>
        <v>13000</v>
      </c>
      <c r="D9" s="11"/>
      <c r="E9" s="11"/>
      <c r="F9" s="11"/>
      <c r="G9" s="11"/>
      <c r="H9" s="11"/>
      <c r="I9" s="11"/>
    </row>
    <row r="10" spans="1:9" ht="68" customHeight="1">
      <c r="A10" s="5" t="s">
        <v>161</v>
      </c>
      <c r="B10" s="5" t="s">
        <v>162</v>
      </c>
      <c r="C10" s="6">
        <f>预算明细!G10</f>
        <v>6500</v>
      </c>
      <c r="D10" s="11"/>
      <c r="E10" s="11"/>
      <c r="F10" s="11"/>
      <c r="G10" s="11"/>
      <c r="H10" s="11"/>
      <c r="I10" s="11"/>
    </row>
    <row r="11" spans="1:9" ht="68" customHeight="1">
      <c r="A11" s="5" t="s">
        <v>164</v>
      </c>
      <c r="B11" s="5" t="s">
        <v>165</v>
      </c>
      <c r="C11" s="6">
        <f>预算明细!G11</f>
        <v>2200</v>
      </c>
      <c r="D11" s="11"/>
      <c r="E11" s="11"/>
      <c r="F11" s="11"/>
      <c r="G11" s="11"/>
      <c r="H11" s="11"/>
      <c r="I11" s="11"/>
    </row>
    <row r="12" spans="1:9" ht="68" customHeight="1">
      <c r="A12" s="5" t="s">
        <v>167</v>
      </c>
      <c r="B12" s="5" t="s">
        <v>168</v>
      </c>
      <c r="C12" s="6">
        <f>预算明细!G12</f>
        <v>4500</v>
      </c>
      <c r="D12" s="11"/>
      <c r="E12" s="11"/>
      <c r="F12" s="11"/>
      <c r="G12" s="11"/>
      <c r="H12" s="11"/>
      <c r="I12" s="11"/>
    </row>
    <row r="13" spans="1:9" ht="68" customHeight="1">
      <c r="A13" s="5" t="s">
        <v>170</v>
      </c>
      <c r="B13" s="5" t="s">
        <v>171</v>
      </c>
      <c r="C13" s="6">
        <f>预算明细!G13</f>
        <v>8000</v>
      </c>
      <c r="D13" s="11"/>
      <c r="E13" s="11"/>
      <c r="F13" s="11"/>
      <c r="G13" s="11"/>
      <c r="H13" s="11"/>
      <c r="I13" s="11"/>
    </row>
    <row r="14" spans="1:9" ht="68" customHeight="1">
      <c r="A14" s="5" t="s">
        <v>173</v>
      </c>
      <c r="B14" s="5" t="s">
        <v>174</v>
      </c>
      <c r="C14" s="6">
        <f>预算明细!G14</f>
        <v>3500</v>
      </c>
      <c r="D14" s="11"/>
      <c r="E14" s="11"/>
      <c r="F14" s="11"/>
      <c r="G14" s="11"/>
      <c r="H14" s="11"/>
      <c r="I14" s="11"/>
    </row>
    <row r="15" spans="1:9" ht="68" customHeight="1">
      <c r="A15" s="5" t="s">
        <v>176</v>
      </c>
      <c r="B15" s="5" t="s">
        <v>177</v>
      </c>
      <c r="C15" s="6">
        <f>预算明细!G15</f>
        <v>4500</v>
      </c>
      <c r="D15" s="11"/>
      <c r="E15" s="11"/>
      <c r="F15" s="11"/>
      <c r="G15" s="11"/>
      <c r="H15" s="11"/>
      <c r="I15" s="11"/>
    </row>
    <row r="16" spans="1:9" ht="68" customHeight="1">
      <c r="A16" s="5" t="s">
        <v>179</v>
      </c>
      <c r="B16" s="5" t="s">
        <v>180</v>
      </c>
      <c r="C16" s="6">
        <f>预算明细!G16</f>
        <v>9000</v>
      </c>
      <c r="D16" s="11"/>
      <c r="E16" s="11"/>
      <c r="F16" s="11"/>
      <c r="G16" s="11"/>
      <c r="H16" s="11"/>
      <c r="I16" s="11"/>
    </row>
    <row r="17" spans="1:9" ht="68" customHeight="1">
      <c r="A17" s="5" t="s">
        <v>182</v>
      </c>
      <c r="B17" s="5" t="s">
        <v>183</v>
      </c>
      <c r="C17" s="6">
        <f>预算明细!G17</f>
        <v>3000</v>
      </c>
      <c r="D17" s="11"/>
      <c r="E17" s="11"/>
      <c r="F17" s="11"/>
      <c r="G17" s="11"/>
      <c r="H17" s="11"/>
      <c r="I17" s="11"/>
    </row>
    <row r="18" spans="1:9" ht="68" customHeight="1">
      <c r="A18" s="5" t="s">
        <v>185</v>
      </c>
      <c r="B18" s="5" t="s">
        <v>186</v>
      </c>
      <c r="C18" s="6">
        <f>预算明细!G18</f>
        <v>1000</v>
      </c>
      <c r="D18" s="11"/>
      <c r="E18" s="11"/>
      <c r="F18" s="11"/>
      <c r="G18" s="11"/>
      <c r="H18" s="11"/>
      <c r="I18" s="11"/>
    </row>
    <row r="19" spans="1:9" ht="68" customHeight="1">
      <c r="A19" s="5" t="s">
        <v>188</v>
      </c>
      <c r="B19" s="5" t="s">
        <v>189</v>
      </c>
      <c r="C19" s="6">
        <f>预算明细!G19</f>
        <v>2400</v>
      </c>
      <c r="D19" s="11"/>
      <c r="E19" s="11"/>
      <c r="F19" s="11"/>
      <c r="G19" s="11"/>
      <c r="H19" s="11"/>
      <c r="I19" s="11"/>
    </row>
    <row r="20" spans="1:9" ht="68" customHeight="1">
      <c r="A20" s="5" t="s">
        <v>191</v>
      </c>
      <c r="B20" s="5" t="s">
        <v>192</v>
      </c>
      <c r="C20" s="6">
        <f>预算明细!G20</f>
        <v>1600</v>
      </c>
      <c r="D20" s="11"/>
      <c r="E20" s="11"/>
      <c r="F20" s="11"/>
      <c r="G20" s="11"/>
      <c r="H20" s="11"/>
      <c r="I20" s="11"/>
    </row>
    <row r="21" spans="1:9" ht="68" customHeight="1">
      <c r="A21" s="5" t="s">
        <v>194</v>
      </c>
      <c r="B21" s="5" t="s">
        <v>195</v>
      </c>
      <c r="C21" s="6">
        <f>预算明细!G21</f>
        <v>1200</v>
      </c>
      <c r="D21" s="11"/>
      <c r="E21" s="11"/>
      <c r="F21" s="11"/>
      <c r="G21" s="11"/>
      <c r="H21" s="11"/>
      <c r="I21" s="11"/>
    </row>
    <row r="22" spans="1:9" ht="60" customHeight="1">
      <c r="A22" s="5" t="s">
        <v>311</v>
      </c>
      <c r="B22" s="5" t="s">
        <v>312</v>
      </c>
      <c r="C22" s="6">
        <v>0</v>
      </c>
      <c r="D22" s="11"/>
      <c r="E22" s="11"/>
      <c r="F22" s="11"/>
      <c r="G22" s="11"/>
      <c r="H22" s="11"/>
      <c r="I22" s="11"/>
    </row>
    <row r="23" spans="1:9" ht="46" customHeight="1">
      <c r="A23" s="7" t="s">
        <v>313</v>
      </c>
      <c r="B23" s="7" t="s">
        <v>314</v>
      </c>
      <c r="C23" s="8">
        <f>SUM(C6:C22)</f>
        <v>83400</v>
      </c>
      <c r="D23" s="8">
        <f>IF(COUNT(D6:D22)=0,"",SUM(D6:D22))</f>
        <v/>
      </c>
      <c r="F23" s="8">
        <f>IF(COUNT(F6:F22)=0,"",SUM(F6:F22))</f>
        <v/>
      </c>
      <c r="H23" s="8">
        <f>IF(COUNT(H6:H22)=0,"",SUM(H6:H22))</f>
        <v/>
      </c>
    </row>
    <row r="25" spans="1:9" ht="68" customHeight="1">
      <c r="A25" s="5" t="s">
        <v>315</v>
      </c>
      <c r="B25" s="5" t="s">
        <v>316</v>
      </c>
      <c r="C25" s="6">
        <f>预算明细!G45</f>
        <v>3500</v>
      </c>
      <c r="D25" s="11"/>
      <c r="E25" s="11"/>
      <c r="F25" s="11"/>
      <c r="G25" s="11"/>
      <c r="H25" s="11"/>
      <c r="I25" s="11"/>
    </row>
  </sheetData>
  <mergeCells count="3">
    <mergeCell ref="A1:I1"/>
    <mergeCell ref="A2:I2"/>
    <mergeCell ref="A4:I4"/>
  </mergeCells>
  <pageMargins left="0.25" right="0.25" top="0.4" bottom="0.4" header="0.3" footer="0.3"/>
  <pageSetup paperSize="8" fitToHeight="0" orientation="landscape"/>
  <headerFooter>
    <oddHeader>&amp;C装修需求与预算 · 2026-10-06</oddHeader>
    <oddFooter>&amp;L规划估算，现场报价复核&amp;R第 &amp;P /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2" customHeight="1"/>
  <cols>
    <col min="1" max="1" width="24.7109375" customWidth="1"/>
    <col min="2" max="2" width="84.7109375" customWidth="1"/>
    <col min="3" max="3" width="28.7109375" customWidth="1"/>
    <col min="4" max="4" width="56.7109375" customWidth="1"/>
  </cols>
  <sheetData>
    <row r="1" spans="1:4" ht="44" customHeight="1">
      <c r="A1" s="1" t="s">
        <v>317</v>
      </c>
      <c r="B1" s="1"/>
      <c r="C1" s="1"/>
      <c r="D1" s="1"/>
    </row>
    <row r="2" spans="1:4" ht="34" customHeight="1">
      <c r="A2" s="2" t="s">
        <v>318</v>
      </c>
      <c r="B2" s="2"/>
      <c r="C2" s="2"/>
      <c r="D2" s="2"/>
    </row>
    <row r="5" spans="1:4" ht="32" customHeight="1">
      <c r="A5" s="4" t="s">
        <v>319</v>
      </c>
      <c r="B5" s="4" t="s">
        <v>320</v>
      </c>
      <c r="C5" s="4" t="s">
        <v>321</v>
      </c>
      <c r="D5" s="4" t="s">
        <v>322</v>
      </c>
    </row>
    <row r="6" spans="1:4" ht="82" customHeight="1">
      <c r="A6" s="9" t="s">
        <v>323</v>
      </c>
      <c r="B6" s="9" t="s">
        <v>324</v>
      </c>
      <c r="C6" s="9" t="s">
        <v>325</v>
      </c>
      <c r="D6" s="12" t="s">
        <v>326</v>
      </c>
    </row>
    <row r="7" spans="1:4" ht="82" customHeight="1">
      <c r="A7" s="5" t="s">
        <v>327</v>
      </c>
      <c r="B7" s="5" t="s">
        <v>328</v>
      </c>
      <c r="C7" s="5" t="s">
        <v>329</v>
      </c>
      <c r="D7" s="12" t="s">
        <v>330</v>
      </c>
    </row>
    <row r="8" spans="1:4" ht="82" customHeight="1">
      <c r="A8" s="9" t="s">
        <v>331</v>
      </c>
      <c r="B8" s="9" t="s">
        <v>332</v>
      </c>
      <c r="C8" s="9" t="s">
        <v>333</v>
      </c>
      <c r="D8" s="12" t="s">
        <v>334</v>
      </c>
    </row>
    <row r="9" spans="1:4" ht="82" customHeight="1">
      <c r="A9" s="5" t="s">
        <v>335</v>
      </c>
      <c r="B9" s="5" t="s">
        <v>336</v>
      </c>
      <c r="C9" s="5" t="s">
        <v>337</v>
      </c>
      <c r="D9" s="12" t="s">
        <v>338</v>
      </c>
    </row>
    <row r="10" spans="1:4" ht="82" customHeight="1">
      <c r="A10" s="9" t="s">
        <v>339</v>
      </c>
      <c r="B10" s="9" t="s">
        <v>340</v>
      </c>
      <c r="C10" s="9" t="s">
        <v>341</v>
      </c>
      <c r="D10" s="12" t="s">
        <v>342</v>
      </c>
    </row>
    <row r="11" spans="1:4" ht="82" customHeight="1">
      <c r="A11" s="5" t="s">
        <v>343</v>
      </c>
      <c r="B11" s="5" t="s">
        <v>344</v>
      </c>
      <c r="C11" s="5" t="s">
        <v>345</v>
      </c>
      <c r="D11" s="12" t="s">
        <v>346</v>
      </c>
    </row>
    <row r="12" spans="1:4" ht="82" customHeight="1">
      <c r="A12" s="9" t="s">
        <v>347</v>
      </c>
      <c r="B12" s="9" t="s">
        <v>348</v>
      </c>
      <c r="C12" s="9" t="s">
        <v>349</v>
      </c>
      <c r="D12" s="12" t="s">
        <v>350</v>
      </c>
    </row>
    <row r="13" spans="1:4" ht="82" customHeight="1">
      <c r="A13" s="5" t="s">
        <v>351</v>
      </c>
      <c r="B13" s="5" t="s">
        <v>352</v>
      </c>
      <c r="C13" s="5" t="s">
        <v>353</v>
      </c>
      <c r="D13" s="5" t="s">
        <v>354</v>
      </c>
    </row>
    <row r="14" spans="1:4" ht="82" customHeight="1">
      <c r="A14" s="9" t="s">
        <v>355</v>
      </c>
      <c r="B14" s="9" t="s">
        <v>356</v>
      </c>
      <c r="C14" s="9" t="s">
        <v>357</v>
      </c>
      <c r="D14" s="9" t="s">
        <v>358</v>
      </c>
    </row>
    <row r="15" spans="1:4" ht="82" customHeight="1">
      <c r="A15" s="5" t="s">
        <v>359</v>
      </c>
      <c r="B15" s="5" t="s">
        <v>360</v>
      </c>
      <c r="C15" s="5" t="s">
        <v>361</v>
      </c>
      <c r="D15" s="5" t="s">
        <v>362</v>
      </c>
    </row>
    <row r="16" spans="1:4" ht="82" customHeight="1">
      <c r="A16" s="9" t="s">
        <v>363</v>
      </c>
      <c r="B16" s="9" t="s">
        <v>364</v>
      </c>
      <c r="C16" s="9" t="s">
        <v>365</v>
      </c>
      <c r="D16" s="12" t="s">
        <v>366</v>
      </c>
    </row>
    <row r="17" spans="1:4" ht="82" customHeight="1">
      <c r="A17" s="5" t="s">
        <v>367</v>
      </c>
      <c r="B17" s="5" t="s">
        <v>368</v>
      </c>
      <c r="C17" s="5" t="s">
        <v>369</v>
      </c>
      <c r="D17" s="12" t="s">
        <v>370</v>
      </c>
    </row>
    <row r="18" spans="1:4" ht="82" customHeight="1">
      <c r="A18" s="9" t="s">
        <v>371</v>
      </c>
      <c r="B18" s="9" t="s">
        <v>372</v>
      </c>
      <c r="C18" s="9" t="s">
        <v>373</v>
      </c>
      <c r="D18" s="9" t="s">
        <v>374</v>
      </c>
    </row>
    <row r="19" spans="1:4" ht="82" customHeight="1">
      <c r="A19" s="5" t="s">
        <v>375</v>
      </c>
      <c r="B19" s="5" t="s">
        <v>376</v>
      </c>
      <c r="C19" s="5" t="s">
        <v>377</v>
      </c>
      <c r="D19" s="5" t="s">
        <v>378</v>
      </c>
    </row>
    <row r="20" spans="1:4" ht="82" customHeight="1">
      <c r="A20" s="9" t="s">
        <v>379</v>
      </c>
      <c r="B20" s="9" t="s">
        <v>380</v>
      </c>
      <c r="C20" s="9" t="s">
        <v>381</v>
      </c>
      <c r="D20" s="9" t="s">
        <v>382</v>
      </c>
    </row>
    <row r="21" spans="1:4" ht="82" customHeight="1">
      <c r="A21" s="5" t="s">
        <v>383</v>
      </c>
      <c r="B21" s="5" t="s">
        <v>384</v>
      </c>
      <c r="C21" s="5" t="s">
        <v>385</v>
      </c>
      <c r="D21" s="5" t="s">
        <v>386</v>
      </c>
    </row>
    <row r="22" spans="1:4" ht="82" customHeight="1">
      <c r="A22" s="9" t="s">
        <v>387</v>
      </c>
      <c r="B22" s="9" t="s">
        <v>388</v>
      </c>
      <c r="C22" s="9" t="s">
        <v>389</v>
      </c>
      <c r="D22" s="9" t="s">
        <v>390</v>
      </c>
    </row>
  </sheetData>
  <mergeCells count="2">
    <mergeCell ref="A1:D1"/>
    <mergeCell ref="A2:D2"/>
  </mergeCells>
  <hyperlinks>
    <hyperlink ref="D6" r:id="rId1"/>
    <hyperlink ref="D7" r:id="rId2"/>
    <hyperlink ref="D8" r:id="rId3"/>
    <hyperlink ref="D9" r:id="rId4"/>
    <hyperlink ref="D10" r:id="rId5"/>
    <hyperlink ref="D11" r:id="rId6"/>
    <hyperlink ref="D12" r:id="rId7"/>
    <hyperlink ref="D16" r:id="rId8"/>
    <hyperlink ref="D17" r:id="rId9"/>
  </hyperlinks>
  <pageMargins left="0.25" right="0.25" top="0.4" bottom="0.4" header="0.3" footer="0.3"/>
  <pageSetup paperSize="8" fitToHeight="0" orientation="landscape"/>
  <headerFooter>
    <oddHeader>&amp;C装修需求与预算 · 2026-10-06</oddHeader>
    <oddFooter>&amp;L规划估算，现场报价复核&amp;R第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预算总览</vt:lpstr>
      <vt:lpstr>确认需求</vt:lpstr>
      <vt:lpstr>预算明细</vt:lpstr>
      <vt:lpstr>采购节奏</vt:lpstr>
      <vt:lpstr>报价对照</vt:lpstr>
      <vt:lpstr>依据与实测</vt:lpstr>
      <vt:lpstr>依据与实测!Print_Area</vt:lpstr>
      <vt:lpstr>报价对照!Print_Area</vt:lpstr>
      <vt:lpstr>确认需求!Print_Area</vt:lpstr>
      <vt:lpstr>采购节奏!Print_Area</vt:lpstr>
      <vt:lpstr>预算总览!Print_Area</vt:lpstr>
      <vt:lpstr>预算明细!Print_Area</vt:lpstr>
      <vt:lpstr>依据与实测!Print_Titles</vt:lpstr>
      <vt:lpstr>报价对照!Print_Titles</vt:lpstr>
      <vt:lpstr>确认需求!Print_Titles</vt:lpstr>
      <vt:lpstr>采购节奏!Print_Titles</vt:lpstr>
      <vt:lpstr>预算总览!Print_Titles</vt:lpstr>
      <vt:lpstr>预算明细!Print_Titles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装修需求与预算｜全包询价版</dc:title>
  <dc:subject>约80㎡旧房全拆、两人居住、分批采购</dc:subject>
  <dc:creator>祝岚</dc:creator>
  <dc:description>规划估算，不是装修公司报价；按2026-10-06确认需求整理。</dc:description>
  <cp:lastModifiedBy>祝岚</cp:lastModifiedBy>
  <dcterms:created xsi:type="dcterms:W3CDTF">2026-10-06T11:42:40Z</dcterms:created>
  <dcterms:modified xsi:type="dcterms:W3CDTF">2026-10-06T11:42:40Z</dcterms:modified>
</cp:coreProperties>
</file>