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627394338047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预算总览" sheetId="1" r:id="Reb4786701f4f43e8"/>
    <x:sheet xmlns:r="http://schemas.openxmlformats.org/officeDocument/2006/relationships" name="确认需求" sheetId="2" r:id="Rd46a34555338430e"/>
    <x:sheet xmlns:r="http://schemas.openxmlformats.org/officeDocument/2006/relationships" name="预算明细" sheetId="3" r:id="R31cc379b2fbc4583"/>
    <x:sheet xmlns:r="http://schemas.openxmlformats.org/officeDocument/2006/relationships" name="采购节奏" sheetId="4" r:id="Rd0af438d57e14208"/>
    <x:sheet xmlns:r="http://schemas.openxmlformats.org/officeDocument/2006/relationships" name="报价对照" sheetId="5" r:id="R04435e2f6dd94d27"/>
    <x:sheet xmlns:r="http://schemas.openxmlformats.org/officeDocument/2006/relationships" name="依据与实测" sheetId="6" r:id="R3232f7d0b3414db8"/>
    <x:sheet xmlns:r="http://schemas.openxmlformats.org/officeDocument/2006/relationships" name="硬装前置" sheetId="7" r:id="Rd280662423d04b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;(#,##0);&quot;—&quot;"/>
    <x:numFmt numFmtId="201" formatCode="0%"/>
  </x:numFmts>
  <x:fonts count="6">
    <x:font>
      <x:sz val="11"/>
      <x:name val="Carlito"/>
    </x:font>
    <x:font>
      <x:sz val="11"/>
      <x:color rgb="FF243D48"/>
      <x:name val="Noto Sans SC"/>
    </x:font>
    <x:font>
      <x:b/>
      <x:sz val="16"/>
      <x:color rgb="FF173E4C"/>
      <x:name val="Noto Sans SC"/>
    </x:font>
    <x:font>
      <x:b/>
      <x:sz val="11"/>
      <x:color rgb="FFFFFFFF"/>
      <x:name val="Noto Sans SC"/>
    </x:font>
    <x:font>
      <x:sz val="11"/>
      <x:color rgb="FF1658AC"/>
      <x:name val="Noto Sans SC"/>
    </x:font>
    <x:font>
      <x:b/>
      <x:sz val="14"/>
      <x:color rgb="FF214D3F"/>
      <x:name val="Noto Sans SC"/>
    </x:font>
  </x:fonts>
  <x:fills count="6">
    <x:fill>
      <x:patternFill patternType="none"/>
    </x:fill>
    <x:fill>
      <x:patternFill patternType="gray125"/>
    </x:fill>
    <x:fill>
      <x:patternFill patternType="solid">
        <x:fgColor rgb="FF215B6A"/>
      </x:patternFill>
    </x:fill>
    <x:fill>
      <x:patternFill patternType="solid">
        <x:fgColor rgb="FFFFF5DA"/>
      </x:patternFill>
    </x:fill>
    <x:fill>
      <x:patternFill patternType="solid">
        <x:fgColor rgb="FFE2EEE8"/>
      </x:patternFill>
    </x:fill>
    <x:fill>
      <x:patternFill patternType="solid">
        <x:fgColor rgb="FFD5E8DE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0" fontId="5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200" fontId="4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59fd2c99764ab1" /><Relationship Type="http://schemas.openxmlformats.org/officeDocument/2006/relationships/theme" Target="/xl/theme/theme1.xml" Id="R937bb248f5134deb" /><Relationship Type="http://schemas.openxmlformats.org/officeDocument/2006/relationships/sharedStrings" Target="/xl/sharedStrings.xml" Id="Re453c2991d2049f3" /><Relationship Type="http://schemas.openxmlformats.org/officeDocument/2006/relationships/worksheet" Target="/xl/worksheets/sheet1.xml" Id="Reb4786701f4f43e8" /><Relationship Type="http://schemas.openxmlformats.org/officeDocument/2006/relationships/worksheet" Target="/xl/worksheets/sheet2.xml" Id="Rd46a34555338430e" /><Relationship Type="http://schemas.openxmlformats.org/officeDocument/2006/relationships/worksheet" Target="/xl/worksheets/sheet3.xml" Id="R31cc379b2fbc4583" /><Relationship Type="http://schemas.openxmlformats.org/officeDocument/2006/relationships/worksheet" Target="/xl/worksheets/sheet4.xml" Id="Rd0af438d57e14208" /><Relationship Type="http://schemas.openxmlformats.org/officeDocument/2006/relationships/worksheet" Target="/xl/worksheets/sheet5.xml" Id="R04435e2f6dd94d27" /><Relationship Type="http://schemas.openxmlformats.org/officeDocument/2006/relationships/worksheet" Target="/xl/worksheets/sheet6.xml" Id="R3232f7d0b3414db8" /><Relationship Type="http://schemas.openxmlformats.org/officeDocument/2006/relationships/worksheet" Target="/xl/worksheets/sheet7.xml" Id="Rd280662423d04be3" /></Relationships>
</file>

<file path=xl/tables/table1.xml><?xml version="1.0" encoding="utf-8"?>
<x:table xmlns:x="http://schemas.openxmlformats.org/spreadsheetml/2006/main" id="1" name="BudgetItems" displayName="BudgetItems" ref="A5:M51" headerRowCount="1" totalsRowCount="0" totalsRowShown="0">
  <x:tableColumns count="13">
    <x:tableColumn id="1" name="分类"/>
    <x:tableColumn id="2" name="项目"/>
    <x:tableColumn id="3" name="低位"/>
    <x:tableColumn id="4" name="高位"/>
    <x:tableColumn id="5" name="规划价"/>
    <x:tableColumn id="6" name="采购阶段"/>
    <x:tableColumn id="7" name="纳入"/>
    <x:tableColumn id="8" name="低位计入"/>
    <x:tableColumn id="9" name="高位计入"/>
    <x:tableColumn id="10" name="规划计入"/>
    <x:tableColumn id="11" name="阶段序号"/>
    <x:tableColumn id="12" name="范围"/>
    <x:tableColumn id="13" name="报价核对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1a5687cf531144fd" /></Relationships>
</file>

<file path=xl/worksheets/sheet1.xml><?xml version="1.0" encoding="utf-8"?>
<x:worksheet xmlns:x="http://schemas.openxmlformats.org/spreadsheetml/2006/main">
  <x:sheetPr>
    <x:tabColor rgb="FF173E4C"/>
  </x:sheetPr>
  <x:sheetViews>
    <x:sheetView showGridLines="0" workbookViewId="0"/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8" hidden="0" customWidth="1"/>
    <x:col min="5" max="5" width="20" hidden="0" customWidth="1"/>
    <x:col min="6" max="6" width="58" hidden="0" customWidth="1"/>
  </x:cols>
  <x:sheetData>
    <x:row r="1" ht="35" customHeight="1">
      <x:c r="A1" s="3" t="str">
        <x:v>装修预算 · 三阶段</x:v>
      </x:c>
      <x:c r="B1" s="2"/>
      <x:c r="C1" s="2"/>
      <x:c r="D1" s="2"/>
      <x:c r="E1" s="2"/>
      <x:c r="F1" s="2"/>
    </x:row>
    <x:row r="2" ht="25" customHeight="1">
      <x:c r="A2" s="2"/>
      <x:c r="B2" s="2"/>
      <x:c r="C2" s="2"/>
      <x:c r="D2" s="2"/>
      <x:c r="E2" s="2"/>
      <x:c r="F2" s="2"/>
    </x:row>
    <x:row r="3" ht="25" customHeight="1">
      <x:c r="A3" s="2" t="str">
        <x:v>人民币元。规划预留，未定型号与现场工程量。</x:v>
      </x:c>
      <x:c r="B3" s="2"/>
      <x:c r="C3" s="2"/>
      <x:c r="D3" s="2"/>
      <x:c r="E3" s="2"/>
      <x:c r="F3" s="2"/>
    </x:row>
    <x:row r="4" ht="25" customHeight="1">
      <x:c r="A4" s="2" t="str">
        <x:v>应急金比例</x:v>
      </x:c>
      <x:c r="B4" s="16" t="n">
        <x:v>0.1</x:v>
      </x:c>
      <x:c r="C4" s="2"/>
      <x:c r="D4" s="2"/>
      <x:c r="E4" s="2"/>
      <x:c r="F4" s="2"/>
    </x:row>
    <x:row r="5" ht="25" customHeight="1">
      <x:c r="A5" s="2"/>
      <x:c r="B5" s="2"/>
      <x:c r="C5" s="2"/>
      <x:c r="D5" s="2"/>
      <x:c r="E5" s="2"/>
      <x:c r="F5" s="2"/>
    </x:row>
    <x:row r="6" ht="30" customHeight="1">
      <x:c r="A6" s="7" t="str">
        <x:v>阶段</x:v>
      </x:c>
      <x:c r="B6" s="7" t="str">
        <x:v>项目低位</x:v>
      </x:c>
      <x:c r="C6" s="7" t="str">
        <x:v>项目高位</x:v>
      </x:c>
      <x:c r="D6" s="7" t="str">
        <x:v>项目规划</x:v>
      </x:c>
      <x:c r="E6" s="7" t="str">
        <x:v>含应急金规划</x:v>
      </x:c>
      <x:c r="F6" s="7" t="str">
        <x:v>当前范围</x:v>
      </x:c>
    </x:row>
    <x:row r="7" ht="65" customHeight="1">
      <x:c r="A7" s="2" t="str">
        <x:v>1 硬装施工</x:v>
      </x:c>
      <x:c r="B7" s="8" t="n">
        <x:f>SUMIFS('预算明细'!$H$6:$H$51,'预算明细'!$F$6:$F$51,$A7)</x:f>
        <x:v>72100</x:v>
      </x:c>
      <x:c r="C7" s="8" t="n">
        <x:f>SUMIFS('预算明细'!$I$6:$I$51,'预算明细'!$F$6:$F$51,$A7)</x:f>
        <x:v>112300</x:v>
      </x:c>
      <x:c r="D7" s="8" t="n">
        <x:f>SUMIFS('预算明细'!$J$6:$J$51,'预算明细'!$F$6:$F$51,$A7)</x:f>
        <x:v>89660</x:v>
      </x:c>
      <x:c r="E7" s="8" t="n">
        <x:f>D7+D13</x:f>
        <x:v>101260</x:v>
      </x:c>
      <x:c r="F7" s="13" t="str">
        <x:v>施工、门窗、固定柜、固定灯、烟灶热水器。应急金统一留
此阶段。</x:v>
      </x:c>
    </x:row>
    <x:row r="8" ht="65" customHeight="1">
      <x:c r="A8" s="2" t="str">
        <x:v>2 入住必需</x:v>
      </x:c>
      <x:c r="B8" s="8" t="n">
        <x:f>SUMIFS('预算明细'!$H$6:$H$51,'预算明细'!$F$6:$F$51,$A8)</x:f>
        <x:v>19600</x:v>
      </x:c>
      <x:c r="C8" s="8" t="n">
        <x:f>SUMIFS('预算明细'!$I$6:$I$51,'预算明细'!$F$6:$F$51,$A8)</x:f>
        <x:v>34400</x:v>
      </x:c>
      <x:c r="D8" s="8" t="n">
        <x:f>SUMIFS('预算明细'!$J$6:$J$51,'预算明细'!$F$6:$F$51,$A8)</x:f>
        <x:v>26340</x:v>
      </x:c>
      <x:c r="E8" s="8" t="n">
        <x:f>D8</x:f>
        <x:v>26340</x:v>
      </x:c>
      <x:c r="F8" s="13" t="str">
        <x:v>床桌椅沙发、镜台、电视柜、窗帘、主卧空调、冰箱与洗烘
机。</x:v>
      </x:c>
    </x:row>
    <x:row r="9" ht="65" customHeight="1">
      <x:c r="A9" s="2" t="str">
        <x:v>3 入住后补</x:v>
      </x:c>
      <x:c r="B9" s="8" t="n">
        <x:f>SUMIFS('预算明细'!$H$6:$H$51,'预算明细'!$F$6:$F$51,$A9)</x:f>
        <x:v>11500</x:v>
      </x:c>
      <x:c r="C9" s="8" t="n">
        <x:f>SUMIFS('预算明细'!$I$6:$I$51,'预算明细'!$F$6:$F$51,$A9)</x:f>
        <x:v>18300</x:v>
      </x:c>
      <x:c r="D9" s="8" t="n">
        <x:f>SUMIFS('预算明细'!$J$6:$J$51,'预算明细'!$F$6:$F$51,$A9)</x:f>
        <x:v>14000</x:v>
      </x:c>
      <x:c r="E9" s="8" t="n">
        <x:f>D9</x:f>
        <x:v>14000</x:v>
      </x:c>
      <x:c r="F9" s="13" t="str">
        <x:v>电视、机器人、洗碗机、客床及客厅空调。</x:v>
      </x:c>
    </x:row>
    <x:row r="10" ht="25" customHeight="1">
      <x:c r="A10" s="2"/>
      <x:c r="B10" s="2"/>
      <x:c r="C10" s="2"/>
      <x:c r="D10" s="2"/>
      <x:c r="E10" s="2"/>
      <x:c r="F10" s="2"/>
    </x:row>
    <x:row r="11" ht="30" customHeight="1">
      <x:c r="A11" s="7" t="str">
        <x:v>资金安排</x:v>
      </x:c>
      <x:c r="B11" s="7" t="str">
        <x:v>低位</x:v>
      </x:c>
      <x:c r="C11" s="7" t="str">
        <x:v>高位</x:v>
      </x:c>
      <x:c r="D11" s="7" t="str">
        <x:v>规划</x:v>
      </x:c>
      <x:c r="E11" s="7" t="str">
        <x:v>说明</x:v>
      </x:c>
      <x:c r="F11" s="2"/>
    </x:row>
    <x:row r="12" ht="42" customHeight="1">
      <x:c r="A12" s="2" t="str">
        <x:v>入住前项目</x:v>
      </x:c>
      <x:c r="B12" s="8" t="n">
        <x:f>SUM(B7:B8)</x:f>
        <x:v>91700</x:v>
      </x:c>
      <x:c r="C12" s="8" t="n">
        <x:f>SUM(C7:C8)</x:f>
        <x:v>146700</x:v>
      </x:c>
      <x:c r="D12" s="8" t="n">
        <x:f>SUM(D7:D8)</x:f>
        <x:v>116000</x:v>
      </x:c>
      <x:c r="E12" s="13" t="str">
        <x:v>阶段一＋阶段二</x:v>
      </x:c>
      <x:c r="F12" s="2"/>
    </x:row>
    <x:row r="13" ht="42" customHeight="1">
      <x:c r="A13" s="2" t="str">
        <x:v>应急金</x:v>
      </x:c>
      <x:c r="B13" s="8" t="n">
        <x:f>ROUNDUP(B12*$B$4/100,0)*100</x:f>
        <x:v>9200</x:v>
      </x:c>
      <x:c r="C13" s="8" t="n">
        <x:f>ROUNDUP(C12*$B$4/100,0)*100</x:f>
        <x:v>14700</x:v>
      </x:c>
      <x:c r="D13" s="8" t="n">
        <x:f>ROUNDUP(D12*$B$4/100,0)*100</x:f>
        <x:v>11600</x:v>
      </x:c>
      <x:c r="E13" s="13" t="str">
        <x:v>按入住前项目预留，
百元向上取整</x:v>
      </x:c>
      <x:c r="F13" s="2"/>
    </x:row>
    <x:row r="14" ht="30" customHeight="1">
      <x:c r="A14" s="17" t="str">
        <x:v>入住前资金</x:v>
      </x:c>
      <x:c r="B14" s="18" t="n">
        <x:f>SUM(B12:B13)</x:f>
        <x:v>100900</x:v>
      </x:c>
      <x:c r="C14" s="18" t="n">
        <x:f>SUM(C12:C13)</x:f>
        <x:v>161400</x:v>
      </x:c>
      <x:c r="D14" s="18" t="n">
        <x:f>SUM(D12:D13)</x:f>
        <x:v>127600</x:v>
      </x:c>
      <x:c r="E14" s="19" t="str">
        <x:v>入住前准备资金</x:v>
      </x:c>
      <x:c r="F14" s="2"/>
    </x:row>
    <x:row r="15" ht="30" customHeight="1">
      <x:c r="A15" s="2" t="str">
        <x:v>后补项目</x:v>
      </x:c>
      <x:c r="B15" s="8" t="n">
        <x:f>B9</x:f>
        <x:v>11500</x:v>
      </x:c>
      <x:c r="C15" s="8" t="n">
        <x:f>C9</x:f>
        <x:v>18300</x:v>
      </x:c>
      <x:c r="D15" s="8" t="n">
        <x:f>D9</x:f>
        <x:v>14000</x:v>
      </x:c>
      <x:c r="E15" s="13" t="str">
        <x:v>阶段三</x:v>
      </x:c>
      <x:c r="F15" s="2"/>
    </x:row>
    <x:row r="16" ht="30" customHeight="1">
      <x:c r="A16" s="20" t="str">
        <x:v>完整规划资金</x:v>
      </x:c>
      <x:c r="B16" s="21" t="n">
        <x:f>SUM(B14:B15)</x:f>
        <x:v>112400</x:v>
      </x:c>
      <x:c r="C16" s="21" t="n">
        <x:f>SUM(C14:C15)</x:f>
        <x:v>179700</x:v>
      </x:c>
      <x:c r="D16" s="23" t="n">
        <x:f>SUM(D14:D15)</x:f>
        <x:v>141600</x:v>
      </x:c>
      <x:c r="E16" s="22" t="str">
        <x:v>应急金只计算一次</x:v>
      </x:c>
      <x:c r="F16" s="2"/>
    </x:row>
    <x:row r="17" ht="25" customHeight="1">
      <x:c r="A17" s="2"/>
      <x:c r="B17" s="2"/>
      <x:c r="C17" s="2"/>
      <x:c r="D17" s="2"/>
      <x:c r="E17" s="2"/>
      <x:c r="F17" s="2"/>
    </x:row>
    <x:row r="18" ht="25" customHeight="1">
      <x:c r="A18" s="2"/>
      <x:c r="B18" s="2"/>
      <x:c r="C18" s="2"/>
      <x:c r="D18" s="2"/>
      <x:c r="E18" s="2"/>
      <x:c r="F18" s="2"/>
    </x:row>
    <x:row r="19" ht="30" customHeight="1">
      <x:c r="A19" s="7" t="str">
        <x:v>可选未计项目</x:v>
      </x:c>
      <x:c r="B19" s="7" t="str">
        <x:v>低位</x:v>
      </x:c>
      <x:c r="C19" s="7" t="str">
        <x:v>高位</x:v>
      </x:c>
      <x:c r="D19" s="7" t="str">
        <x:v>规划</x:v>
      </x:c>
      <x:c r="E19" s="7" t="str">
        <x:v>安排</x:v>
      </x:c>
      <x:c r="F19" s="2"/>
    </x:row>
    <x:row r="20" ht="40" customHeight="1">
      <x:c r="A20" s="13" t="str">
        <x:v>次卧空调</x:v>
      </x:c>
      <x:c r="B20" s="24" t="n">
        <x:f>'预算明细'!C43</x:f>
        <x:v>1800</x:v>
      </x:c>
      <x:c r="C20" s="24" t="n">
        <x:f>'预算明细'!D43</x:f>
        <x:v>2500</x:v>
      </x:c>
      <x:c r="D20" s="24" t="n">
        <x:f>'预算明细'!E43</x:f>
        <x:v>2200</x:v>
      </x:c>
      <x:c r="E20" s="13" t="str">
        <x:v>纳入开关目前0</x:v>
      </x:c>
      <x:c r="F20" s="2"/>
    </x:row>
    <x:row r="21" ht="40" customHeight="1">
      <x:c r="A21" s="13" t="str">
        <x:v>厨下净水器</x:v>
      </x:c>
      <x:c r="B21" s="24" t="n">
        <x:f>'预算明细'!C44</x:f>
        <x:v>1000</x:v>
      </x:c>
      <x:c r="C21" s="24" t="n">
        <x:f>'预算明细'!D44</x:f>
        <x:v>1800</x:v>
      </x:c>
      <x:c r="D21" s="24" t="n">
        <x:f>'预算明细'!E44</x:f>
        <x:v>1400</x:v>
      </x:c>
      <x:c r="E21" s="13" t="str">
        <x:v>纳入开关目前0</x:v>
      </x:c>
      <x:c r="F21" s="2"/>
    </x:row>
    <x:row r="22" ht="40" customHeight="1">
      <x:c r="A22" s="13" t="str">
        <x:v>智能门锁升级差价</x:v>
      </x:c>
      <x:c r="B22" s="24" t="n">
        <x:f>'预算明细'!C45</x:f>
        <x:v>600</x:v>
      </x:c>
      <x:c r="C22" s="24" t="n">
        <x:f>'预算明细'!D45</x:f>
        <x:v>1500</x:v>
      </x:c>
      <x:c r="D22" s="24" t="n">
        <x:f>'预算明细'!E45</x:f>
        <x:v>1000</x:v>
      </x:c>
      <x:c r="E22" s="13" t="str">
        <x:v>纳入开关目前0</x:v>
      </x:c>
      <x:c r="F22" s="2"/>
    </x:row>
    <x:row r="23" ht="40" customHeight="1">
      <x:c r="A23" s="13" t="str">
        <x:v>电动窗帘后续升级</x:v>
      </x:c>
      <x:c r="B23" s="24" t="n">
        <x:f>'预算明细'!C46</x:f>
        <x:v>1200</x:v>
      </x:c>
      <x:c r="C23" s="24" t="n">
        <x:f>'预算明细'!D46</x:f>
        <x:v>2500</x:v>
      </x:c>
      <x:c r="D23" s="24" t="n">
        <x:f>'预算明细'!E46</x:f>
        <x:v>1800</x:v>
      </x:c>
      <x:c r="E23" s="13" t="str">
        <x:v>纳入开关目前0</x:v>
      </x:c>
      <x:c r="F23" s="2"/>
    </x:row>
    <x:row r="24" ht="40" customHeight="1">
      <x:c r="A24" s="13" t="str">
        <x:v>新增吊柜（扩充方案备选
）</x:v>
      </x:c>
      <x:c r="B24" s="24" t="n">
        <x:f>'预算明细'!C47</x:f>
        <x:v>4000</x:v>
      </x:c>
      <x:c r="C24" s="24" t="n">
        <x:f>'预算明细'!D47</x:f>
        <x:v>8000</x:v>
      </x:c>
      <x:c r="D24" s="24" t="n">
        <x:f>'预算明细'!E47</x:f>
        <x:v>5500</x:v>
      </x:c>
      <x:c r="E24" s="13" t="str">
        <x:v>硬装期决定；纳入开
关目前0</x:v>
      </x:c>
      <x:c r="F24" s="2"/>
    </x:row>
    <x:row r="25" ht="25" customHeight="1">
      <x:c r="A25" s="2"/>
      <x:c r="B25" s="2"/>
      <x:c r="C25" s="2"/>
      <x:c r="D25" s="2"/>
      <x:c r="E25" s="2"/>
      <x:c r="F25" s="2"/>
    </x:row>
    <x:row r="26" ht="25" customHeight="1">
      <x:c r="A26" s="2" t="str">
        <x:v>电脑硬件不计。扩充吊柜5500元未计；决定做后在明细把纳入改为1。</x:v>
      </x:c>
      <x:c r="B26" s="2"/>
      <x:c r="C26" s="2"/>
      <x:c r="D26" s="2"/>
      <x:c r="E26" s="2"/>
      <x:c r="F26" s="2"/>
    </x:row>
    <x:row r="27" ht="25" customHeight="1">
      <x:c r="A27" s="2"/>
      <x:c r="B27" s="2"/>
      <x:c r="C27" s="2"/>
      <x:c r="D27" s="2"/>
      <x:c r="E27" s="2"/>
      <x:c r="F27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88" hidden="0" customWidth="1"/>
    <x:col min="4" max="4" width="35" hidden="0" customWidth="1"/>
  </x:cols>
  <x:sheetData>
    <x:row r="1" ht="35" customHeight="1">
      <x:c r="A1" s="3" t="str">
        <x:v>确认需求</x:v>
      </x:c>
      <x:c r="B1" s="2"/>
      <x:c r="C1" s="2"/>
      <x:c r="D1" s="2"/>
    </x:row>
    <x:row r="2" ht="25" customHeight="1">
      <x:c r="A2" s="2"/>
      <x:c r="B2" s="2"/>
      <x:c r="C2" s="2"/>
      <x:c r="D2" s="2"/>
    </x:row>
    <x:row r="3" ht="25" customHeight="1">
      <x:c r="A3" s="2"/>
      <x:c r="B3" s="2"/>
      <x:c r="C3" s="2"/>
      <x:c r="D3" s="2"/>
    </x:row>
    <x:row r="4" ht="30" customHeight="1">
      <x:c r="A4" s="7" t="str">
        <x:v>位置</x:v>
      </x:c>
      <x:c r="B4" s="7" t="str">
        <x:v>事项</x:v>
      </x:c>
      <x:c r="C4" s="7" t="str">
        <x:v>需求</x:v>
      </x:c>
      <x:c r="D4" s="7" t="str">
        <x:v>依据</x:v>
      </x:c>
    </x:row>
    <x:row r="5" ht="55" customHeight="1">
      <x:c r="A5" s="13" t="str">
        <x:v>总体</x:v>
      </x:c>
      <x:c r="B5" s="13" t="str">
        <x:v>总预算</x:v>
      </x:c>
      <x:c r="C5" s="13" t="str">
        <x:v>暂不设最高额度，先算必需项目。</x:v>
      </x:c>
      <x:c r="D5" s="13" t="str">
        <x:v>用户确认</x:v>
      </x:c>
    </x:row>
    <x:row r="6" ht="55" customHeight="1">
      <x:c r="A6" s="13" t="str">
        <x:v>总体</x:v>
      </x:c>
      <x:c r="B6" s="13" t="str">
        <x:v>施工方式</x:v>
      </x:c>
      <x:c r="C6" s="13" t="str">
        <x:v>装修公司全包：主材与施工由装修公司负责；报价须明确具体范围。</x:v>
      </x:c>
      <x:c r="D6" s="13" t="str">
        <x:v>用户确认</x:v>
      </x:c>
    </x:row>
    <x:row r="7" ht="55" customHeight="1">
      <x:c r="A7" s="13" t="str">
        <x:v>总体</x:v>
      </x:c>
      <x:c r="B7" s="13" t="str">
        <x:v>工期</x:v>
      </x:c>
      <x:c r="C7" s="13" t="str">
        <x:v>没有固定入住期限，不赶着入住。</x:v>
      </x:c>
      <x:c r="D7" s="13" t="str">
        <x:v>用户确认</x:v>
      </x:c>
    </x:row>
    <x:row r="8" ht="55" customHeight="1">
      <x:c r="A8" s="13" t="str">
        <x:v>总体</x:v>
      </x:c>
      <x:c r="B8" s="13" t="str">
        <x:v>旧房处理</x:v>
      </x:c>
      <x:c r="C8" s="13" t="str">
        <x:v>已有装修，旧装修全部拆除重做。</x:v>
      </x:c>
      <x:c r="D8" s="13" t="str">
        <x:v>用户确认</x:v>
      </x:c>
    </x:row>
    <x:row r="9" ht="55" customHeight="1">
      <x:c r="A9" s="13" t="str">
        <x:v>总体</x:v>
      </x:c>
      <x:c r="B9" s="13" t="str">
        <x:v>布局</x:v>
      </x:c>
      <x:c r="C9" s="13" t="str">
        <x:v>拆客厅里后加的隔间，恢复客餐厅；其他房间分隔保留。</x:v>
      </x:c>
      <x:c r="D9" s="13" t="str">
        <x:v>用户确认</x:v>
      </x:c>
    </x:row>
    <x:row r="10" ht="55" customHeight="1">
      <x:c r="A10" s="13" t="str">
        <x:v>总体</x:v>
      </x:c>
      <x:c r="B10" s="13" t="str">
        <x:v>门窗</x:v>
      </x:c>
      <x:c r="C10" s="13" t="str">
        <x:v>外窗全部换新；入户门也换新。</x:v>
      </x:c>
      <x:c r="D10" s="13" t="str">
        <x:v>用户确认</x:v>
      </x:c>
    </x:row>
    <x:row r="11" ht="55" customHeight="1">
      <x:c r="A11" s="13" t="str">
        <x:v>总体</x:v>
      </x:c>
      <x:c r="B11" s="13" t="str">
        <x:v>搬运</x:v>
      </x:c>
      <x:c r="C11" s="13" t="str">
        <x:v>有电梯，可用于装修搬运。</x:v>
      </x:c>
      <x:c r="D11" s="13" t="str">
        <x:v>用户确认</x:v>
      </x:c>
    </x:row>
    <x:row r="12" ht="55" customHeight="1">
      <x:c r="A12" s="13" t="str">
        <x:v>居住</x:v>
      </x:c>
      <x:c r="B12" s="13" t="str">
        <x:v>人数</x:v>
      </x:c>
      <x:c r="C12" s="13" t="str">
        <x:v>两个人长期住，都睡主卧。</x:v>
      </x:c>
      <x:c r="D12" s="13" t="str">
        <x:v>用户确认</x:v>
      </x:c>
    </x:row>
    <x:row r="13" ht="55" customHeight="1">
      <x:c r="A13" s="13" t="str">
        <x:v>居住</x:v>
      </x:c>
      <x:c r="B13" s="13" t="str">
        <x:v>家电品牌</x:v>
      </x:c>
      <x:c r="C13" s="13" t="str">
        <x:v>大家电尽量选小米/米家，允许分批采购。</x:v>
      </x:c>
      <x:c r="D13" s="13" t="str">
        <x:v>用户确认</x:v>
      </x:c>
    </x:row>
    <x:row r="14" ht="55" customHeight="1">
      <x:c r="A14" s="13" t="str">
        <x:v>居住</x:v>
      </x:c>
      <x:c r="B14" s="13" t="str">
        <x:v>基本风格</x:v>
      </x:c>
      <x:c r="C14" s="13" t="str">
        <x:v>装饰从简；按简单墙顶和成品家具优先规划。</x:v>
      </x:c>
      <x:c r="D14" s="13" t="str">
        <x:v>原需求＋方案假设</x:v>
      </x:c>
    </x:row>
    <x:row r="15" ht="55" customHeight="1">
      <x:c r="A15" s="13" t="str">
        <x:v>主卧</x:v>
      </x:c>
      <x:c r="B15" s="13" t="str">
        <x:v>身材与床</x:v>
      </x:c>
      <x:c r="C15" s="13" t="str">
        <x:v>188cm/100kg、160cm/50kg；助手建议床宽1.8m，床长优先2.1m。</x:v>
      </x:c>
      <x:c r="D15" s="13" t="str">
        <x:v>身材已确认；床为方案建议</x:v>
      </x:c>
    </x:row>
    <x:row r="16" ht="55" customHeight="1">
      <x:c r="A16" s="13" t="str">
        <x:v>主卧</x:v>
      </x:c>
      <x:c r="B16" s="13" t="str">
        <x:v>收纳</x:v>
      </x:c>
      <x:c r="C16" s="13" t="str">
        <x:v>主卧182cm组合收纳：125cm干净挂衣、57cm独立脏衣仓、顶柜＋帘杆；未盘点衣物，次卧作
补充。</x:v>
      </x:c>
      <x:c r="D16" s="13" t="str">
        <x:v>原需求保留；尺寸为方案</x:v>
      </x:c>
    </x:row>
    <x:row r="17" ht="55" customHeight="1">
      <x:c r="A17" s="13" t="str">
        <x:v>次卧</x:v>
      </x:c>
      <x:c r="B17" s="13" t="str">
        <x:v>梳妆台</x:v>
      </x:c>
      <x:c r="C17" s="13" t="str">
        <x:v>梳妆区改在次卧右墙，80×40cm悬空台与镜、凳，镜灯及插座同步迁移。</x:v>
      </x:c>
      <x:c r="D17" s="13" t="str">
        <x:v>本次布局调整</x:v>
      </x:c>
    </x:row>
    <x:row r="18" ht="55" customHeight="1">
      <x:c r="A18" s="13" t="str">
        <x:v>次卧</x:v>
      </x:c>
      <x:c r="B18" s="13" t="str">
        <x:v>留宿频率</x:v>
      </x:c>
      <x:c r="C18" s="13" t="str">
        <x:v>一年偶尔留宿几次，按备用客房规划；客床形式待定。</x:v>
      </x:c>
      <x:c r="D18" s="13" t="str">
        <x:v>用户确认</x:v>
      </x:c>
    </x:row>
    <x:row r="19" ht="55" customHeight="1">
      <x:c r="A19" s="13" t="str">
        <x:v>工位</x:v>
      </x:c>
      <x:c r="B19" s="13" t="str">
        <x:v>设备</x:v>
      </x:c>
      <x:c r="C19" s="13" t="str">
        <x:v>两台台式机，各一块显示器，共两块屏幕；替代之前的双屏＋单屏设想。</x:v>
      </x:c>
      <x:c r="D19" s="13" t="str">
        <x:v>用户确认</x:v>
      </x:c>
    </x:row>
    <x:row r="20" ht="55" customHeight="1">
      <x:c r="A20" s="13" t="str">
        <x:v>工位</x:v>
      </x:c>
      <x:c r="B20" s="13" t="str">
        <x:v>采购口径</x:v>
      </x:c>
      <x:c r="C20" s="13" t="str">
        <x:v>两台电脑暂不纳入采购预算；本表电脑硬件整体暂不计，显示器采购若另有需要再加。</x:v>
      </x:c>
      <x:c r="D20" s="13" t="str">
        <x:v>用户确认电脑排除；预算口径明确</x:v>
      </x:c>
    </x:row>
    <x:row r="21" ht="55" customHeight="1">
      <x:c r="A21" s="13" t="str">
        <x:v>工位</x:v>
      </x:c>
      <x:c r="B21" s="13" t="str">
        <x:v>位置</x:v>
      </x:c>
      <x:c r="C21" s="13" t="str">
        <x:v>用户希望靠近客厅窗户；本版沿靠阳台的两侧墙各放120×60cm桌，中间留通路。</x:v>
      </x:c>
      <x:c r="D21" s="13" t="str">
        <x:v>靠窗偏好已确认；占位待复尺</x:v>
      </x:c>
    </x:row>
    <x:row r="22" ht="55" customHeight="1">
      <x:c r="A22" s="13" t="str">
        <x:v>客厅</x:v>
      </x:c>
      <x:c r="B22" s="13" t="str">
        <x:v>娱乐</x:v>
      </x:c>
      <x:c r="C22" s="13" t="str">
        <x:v>保留沙发、电视位置，未来会买Switch等主机；不因工位取消娱乐区。</x:v>
      </x:c>
      <x:c r="D22" s="13" t="str">
        <x:v>用户确认</x:v>
      </x:c>
    </x:row>
    <x:row r="23" ht="55" customHeight="1">
      <x:c r="A23" s="13" t="str">
        <x:v>客厅</x:v>
      </x:c>
      <x:c r="B23" s="13" t="str">
        <x:v>餐桌</x:v>
      </x:c>
      <x:c r="C23" s="13" t="str">
        <x:v>固定餐桌，不再折叠；本版120×70cm，两把餐椅，桌下不加低横撑。</x:v>
      </x:c>
      <x:c r="D23" s="13" t="str">
        <x:v>固定款已确认；尺寸为方案</x:v>
      </x:c>
    </x:row>
    <x:row r="24" ht="55" customHeight="1">
      <x:c r="A24" s="13" t="str">
        <x:v>主卧</x:v>
      </x:c>
      <x:c r="B24" s="13" t="str">
        <x:v>床朝向</x:v>
      </x:c>
      <x:c r="C24" s="13" t="str">
        <x:v>用户希望床调个面；本版先把床头换到图面右侧墙，可切回左侧比较。</x:v>
      </x:c>
      <x:c r="D24" s="13" t="str">
        <x:v>用户要求调整；具体朝向为方案解释</x:v>
      </x:c>
    </x:row>
    <x:row r="25" ht="55" customHeight="1">
      <x:c r="A25" s="13" t="str">
        <x:v>收纳</x:v>
      </x:c>
      <x:c r="B25" s="13" t="str">
        <x:v>新增顶柜</x:v>
      </x:c>
      <x:c r="C25" s="13" t="str">
        <x:v>继续找上方柜位；八处扩充吊柜约7.96延米，规划5500元另列可选；基础柜顶和厨房柜不重
复。</x:v>
      </x:c>
      <x:c r="D25" s="13" t="str">
        <x:v>上方收纳需求确认；范围待复尺</x:v>
      </x:c>
    </x:row>
    <x:row r="26" ht="55" customHeight="1">
      <x:c r="A26" s="13" t="str">
        <x:v>厨房</x:v>
      </x:c>
      <x:c r="B26" s="13" t="str">
        <x:v>使用</x:v>
      </x:c>
      <x:c r="C26" s="13" t="str">
        <x:v>两人生活，每周在家做饭几次。</x:v>
      </x:c>
      <x:c r="D26" s="13" t="str">
        <x:v>用户确认</x:v>
      </x:c>
    </x:row>
    <x:row r="27" ht="55" customHeight="1">
      <x:c r="A27" s="13" t="str">
        <x:v>厨房</x:v>
      </x:c>
      <x:c r="B27" s="13" t="str">
        <x:v>洗碗机</x:v>
      </x:c>
      <x:c r="C27" s="13" t="str">
        <x:v>以后买；装修时预留柜位、进排水及电源。</x:v>
      </x:c>
      <x:c r="D27" s="13" t="str">
        <x:v>用户确认</x:v>
      </x:c>
    </x:row>
    <x:row r="28" ht="55" customHeight="1">
      <x:c r="A28" s="13" t="str">
        <x:v>厨房</x:v>
      </x:c>
      <x:c r="B28" s="13" t="str">
        <x:v>天然气</x:v>
      </x:c>
      <x:c r="C28" s="13" t="str">
        <x:v>已开通，可正常使用。</x:v>
      </x:c>
      <x:c r="D28" s="13" t="str">
        <x:v>用户确认</x:v>
      </x:c>
    </x:row>
    <x:row r="29" ht="55" customHeight="1">
      <x:c r="A29" s="13" t="str">
        <x:v>洗衣</x:v>
      </x:c>
      <x:c r="B29" s="13" t="str">
        <x:v>设备</x:v>
      </x:c>
      <x:c r="C29" s="13" t="str">
        <x:v>一台洗烘一体机，洗涤与烘干合并；具体摆放区和型号待复核。</x:v>
      </x:c>
      <x:c r="D29" s="13" t="str">
        <x:v>用户确认类型</x:v>
      </x:c>
    </x:row>
    <x:row r="30" ht="55" customHeight="1">
      <x:c r="A30" s="13" t="str">
        <x:v>地面</x:v>
      </x:c>
      <x:c r="B30" s="13" t="str">
        <x:v>材料</x:v>
      </x:c>
      <x:c r="C30" s="13" t="str">
        <x:v>客厅和两间卧室均铺瓷砖。</x:v>
      </x:c>
      <x:c r="D30" s="13" t="str">
        <x:v>用户确认</x:v>
      </x:c>
    </x:row>
    <x:row r="31" ht="55" customHeight="1">
      <x:c r="A31" s="13" t="str">
        <x:v>卫生间</x:v>
      </x:c>
      <x:c r="B31" s="13" t="str">
        <x:v>便器</x:v>
      </x:c>
      <x:c r="C31" s="13" t="str">
        <x:v>继续采用蹲便器形式；按全拆旧重做预算，是否复用旧件需现场确认。</x:v>
      </x:c>
      <x:c r="D31" s="13" t="str">
        <x:v>用户确认形式</x:v>
      </x:c>
    </x:row>
    <x:row r="32" ht="55" customHeight="1">
      <x:c r="A32" s="13" t="str">
        <x:v>卫生间</x:v>
      </x:c>
      <x:c r="B32" s="13" t="str">
        <x:v>淋浴</x:v>
      </x:c>
      <x:c r="C32" s="13" t="str">
        <x:v>暂不做淋浴隔断，开放式淋浴；原干湿分隔设想已更新。</x:v>
      </x:c>
      <x:c r="D32" s="13" t="str">
        <x:v>用户最新确认</x:v>
      </x:c>
    </x:row>
    <x:row r="33" ht="55" customHeight="1">
      <x:c r="A33" s="13" t="str">
        <x:v>供暖</x:v>
      </x:c>
      <x:c r="B33" s="13" t="str">
        <x:v>方式</x:v>
      </x:c>
      <x:c r="C33" s="13" t="str">
        <x:v>冬季用空调取暖。</x:v>
      </x:c>
      <x:c r="D33" s="13" t="str">
        <x:v>用户确认</x:v>
      </x:c>
    </x:row>
    <x:row r="34" ht="55" customHeight="1">
      <x:c r="A34" s="13" t="str">
        <x:v>智能</x:v>
      </x:c>
      <x:c r="B34" s="13" t="str">
        <x:v>控制</x:v>
      </x:c>
      <x:c r="C34" s="13" t="str">
        <x:v>手机、语音控制就够，基础智能方案。</x:v>
      </x:c>
      <x:c r="D34" s="13" t="str">
        <x:v>用户确认</x:v>
      </x:c>
    </x:row>
    <x:row r="35" ht="55" customHeight="1">
      <x:c r="A35" s="13" t="str">
        <x:v>窗帘</x:v>
      </x:c>
      <x:c r="B35" s="13" t="str">
        <x:v>升级</x:v>
      </x:c>
      <x:c r="C35" s="13" t="str">
        <x:v>先手拉，预留电动窗帘电源，以后升级。</x:v>
      </x:c>
      <x:c r="D35" s="13" t="str">
        <x:v>用户确认</x:v>
      </x:c>
    </x:row>
    <x:row r="36" ht="55" customHeight="1">
      <x:c r="A36" s="13" t="str">
        <x:v>已有物品</x:v>
      </x:c>
      <x:c r="B36" s="13" t="str">
        <x:v>继续使用</x:v>
      </x:c>
      <x:c r="C36" s="13" t="str">
        <x:v>一把电脑椅、一个空气炸锅、一个电饭锅；没有其他可搬入的大家电。</x:v>
      </x:c>
      <x:c r="D36" s="13" t="str">
        <x:v>用户确认</x:v>
      </x:c>
    </x:row>
    <x:row r="37" ht="55" customHeight="1">
      <x:c r="A37" s="13" t="str">
        <x:v>养猫</x:v>
      </x:c>
      <x:c r="B37" s="13" t="str">
        <x:v>空间</x:v>
      </x:c>
      <x:c r="C37" s="13" t="str">
        <x:v>一只猫；猫砂、饮食、活动空间及窗户防护纳入规划。</x:v>
      </x:c>
      <x:c r="D37" s="13" t="str">
        <x:v>原需求文件</x:v>
      </x:c>
    </x:row>
    <x:row r="38" ht="55" customHeight="1">
      <x:c r="A38" s="13" t="str">
        <x:v>机器人</x:v>
      </x:c>
      <x:c r="B38" s="13" t="str">
        <x:v>基础条件</x:v>
      </x:c>
      <x:c r="C38" s="13" t="str">
        <x:v>计划自动换水扫拖机器人，先留基站、上下水、电源与检修空间。</x:v>
      </x:c>
      <x:c r="D38" s="13" t="str">
        <x:v>原需求文件</x:v>
      </x:c>
    </x:row>
    <x:row r="39" ht="55" customHeight="1">
      <x:c r="A39" s="13" t="str">
        <x:v>清扫</x:v>
      </x:c>
      <x:c r="B39" s="13" t="str">
        <x:v>家具底部</x:v>
      </x:c>
      <x:c r="C39" s="13" t="str">
        <x:v>每处安排机器人可进入清扫或落地封底；柜顶也收口到顶，避免难清理窄缝。</x:v>
      </x:c>
      <x:c r="D39" s="13" t="str">
        <x:v>用户最新要求</x:v>
      </x:c>
    </x:row>
    <x:row r="40" ht="55" customHeight="1">
      <x:c r="A40" s="13" t="str">
        <x:v>清扫</x:v>
      </x:c>
      <x:c r="B40" s="13" t="str">
        <x:v>验证假设</x:v>
      </x:c>
      <x:c r="C40" s="13" t="str">
        <x:v>先按38cm直径、14cm高包络，通路45cm、架空家具底16cm；实际设备未选，阈高和受压净空
需复尺。</x:v>
      </x:c>
      <x:c r="D40" s="13" t="str">
        <x:v>助手规划假设，非机器已选</x:v>
      </x:c>
    </x:row>
    <x:row r="41" ht="55" customHeight="1">
      <x:c r="A41" s="13" t="str">
        <x:v>入户</x:v>
      </x:c>
      <x:c r="B41" s="13" t="str">
        <x:v>鞋柜与挂衣</x:v>
      </x:c>
      <x:c r="C41" s="13" t="str">
        <x:v>入口安排鞋柜、挂外套和换鞋座；本版214×42cm组合柜，避门扇。</x:v>
      </x:c>
      <x:c r="D41" s="13" t="str">
        <x:v>功能已确认；尺寸为方案</x:v>
      </x:c>
    </x:row>
    <x:row r="42" ht="55" customHeight="1">
      <x:c r="A42" s="13" t="str">
        <x:v>主卧</x:v>
      </x:c>
      <x:c r="B42" s="13" t="str">
        <x:v>可复穿衣物</x:v>
      </x:c>
      <x:c r="C42" s="13" t="str">
        <x:v>独立壁挂衣板，挂穿过但暂不需要洗的衣物；45cm宽，不与干净衣物或脏衣篮混放。</x:v>
      </x:c>
      <x:c r="D42" s="13" t="str">
        <x:v>用户要求；位置为方案</x:v>
      </x:c>
    </x:row>
    <x:row r="43" ht="55" customHeight="1">
      <x:c r="A43" s="13" t="str">
        <x:v>洗衣</x:v>
      </x:c>
      <x:c r="B43" s="13" t="str">
        <x:v>脏衣篮</x:v>
      </x:c>
      <x:c r="C43" s="13" t="str">
        <x:v>主卧柜右端独立脏衣仓，带盖篮可抽出，与干净衣物分隔。</x:v>
      </x:c>
      <x:c r="D43" s="13" t="str">
        <x:v>用户要求；容量待核</x:v>
      </x:c>
    </x:row>
    <x:row r="44" ht="55" customHeight="1">
      <x:c r="A44" s="13" t="str">
        <x:v>点位</x:v>
      </x:c>
      <x:c r="B44" s="13" t="str">
        <x:v>灯具与插排</x:v>
      </x:c>
      <x:c r="C44" s="13" t="str">
        <x:v>模型补灯具、插座、开关、网口、两工位插排、插头和离地走线；16处灯具、37个电源插座
。</x:v>
      </x:c>
      <x:c r="D44" s="13" t="str">
        <x:v>用户要求；数量为规划</x:v>
      </x:c>
    </x:row>
    <x:row r="45" ht="55" customHeight="1">
      <x:c r="A45" s="13" t="str">
        <x:v>清扫</x:v>
      </x:c>
      <x:c r="B45" s="13" t="str">
        <x:v>例外处理</x:v>
      </x:c>
      <x:c r="C45" s="13" t="str">
        <x:v>开放淋浴湿区人工清扫；五爪电脑椅移开，设备散热与检修不能因封缝堵住。</x:v>
      </x:c>
      <x:c r="D45" s="13" t="str">
        <x:v>功能条件说明</x:v>
      </x:c>
    </x:row>
    <x:row r="46" ht="55" customHeight="1">
      <x:c r="A46" s="13" t="str">
        <x:v>进场</x:v>
      </x:c>
      <x:c r="B46" s="13" t="str">
        <x:v>三阶段预算</x:v>
      </x:c>
      <x:c r="C46" s="13" t="str">
        <x:v>硬装施工、入住必需、入住后补；可选项纳入开关独立于阶段。</x:v>
      </x:c>
      <x:c r="D46" s="13" t="str">
        <x:v>本次用户要求</x:v>
      </x:c>
    </x:row>
    <x:row r="47" ht="55" customHeight="1">
      <x:c r="A47" s="13" t="str">
        <x:v>进场</x:v>
      </x:c>
      <x:c r="B47" s="13" t="str">
        <x:v>两个视图</x:v>
      </x:c>
      <x:c r="C47" s="13" t="str">
        <x:v>软装进场前看固定安装；入住前必需看固定安装＋必要家具家电。</x:v>
      </x:c>
      <x:c r="D47" s="13" t="str">
        <x:v>本次用户要求</x:v>
      </x:c>
    </x:row>
    <x:row r="48" ht="55" customHeight="1">
      <x:c r="A48" s="13" t="str">
        <x:v>施工</x:v>
      </x:c>
      <x:c r="B48" s="13" t="str">
        <x:v>提前决策</x:v>
      </x:c>
      <x:c r="C48" s="13" t="str">
        <x:v>水电、地面标高、蹲便、防水、设备柜位、柜体固定、门窗及进场验收等21项提前核对。</x:v>
      </x:c>
      <x:c r="D48" s="13" t="str">
        <x:v>本次用户要求</x:v>
      </x:c>
    </x:row>
    <x:row r="49" ht="25" customHeight="1">
      <x:c r="A49" s="2"/>
      <x:c r="B49" s="2"/>
      <x:c r="C49" s="2"/>
      <x:c r="D49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31" hidden="0" customWidth="1"/>
    <x:col min="3" max="3" width="12" hidden="0" customWidth="1"/>
    <x:col min="4" max="4" width="12" hidden="0" customWidth="1"/>
    <x:col min="5" max="5" width="13" hidden="0" customWidth="1"/>
    <x:col min="6" max="6" width="21" hidden="0" customWidth="1"/>
    <x:col min="7" max="7" width="8" hidden="0" customWidth="1"/>
    <x:col min="8" max="8" width="12" hidden="0" customWidth="1"/>
    <x:col min="9" max="9" width="13" hidden="0" customWidth="1"/>
    <x:col min="10" max="10" width="13" hidden="0" customWidth="1"/>
    <x:col min="11" max="11" width="13" hidden="0" customWidth="1"/>
    <x:col min="12" max="12" width="58" hidden="0" customWidth="1"/>
    <x:col min="13" max="13" width="66" hidden="0" customWidth="1"/>
  </x:cols>
  <x:sheetData>
    <x:row r="1" ht="35" customHeight="1">
      <x:c r="A1" s="3" t="str">
        <x:v>装修预算明细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黄色格可编辑单价、阶段、是否纳入；0=不计，1=计入。金额为人民币元。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30" customHeight="1">
      <x:c r="A5" s="7" t="str">
        <x:v>分类</x:v>
      </x:c>
      <x:c r="B5" s="7" t="str">
        <x:v>项目</x:v>
      </x:c>
      <x:c r="C5" s="7" t="str">
        <x:v>低位</x:v>
      </x:c>
      <x:c r="D5" s="7" t="str">
        <x:v>高位</x:v>
      </x:c>
      <x:c r="E5" s="7" t="str">
        <x:v>规划价</x:v>
      </x:c>
      <x:c r="F5" s="7" t="str">
        <x:v>采购阶段</x:v>
      </x:c>
      <x:c r="G5" s="7" t="str">
        <x:v>纳入</x:v>
      </x:c>
      <x:c r="H5" s="7" t="str">
        <x:v>低位计入</x:v>
      </x:c>
      <x:c r="I5" s="7" t="str">
        <x:v>高位计入</x:v>
      </x:c>
      <x:c r="J5" s="7" t="str">
        <x:v>规划计入</x:v>
      </x:c>
      <x:c r="K5" s="7" t="str">
        <x:v>阶段序号</x:v>
      </x:c>
      <x:c r="L5" s="7" t="str">
        <x:v>范围</x:v>
      </x:c>
      <x:c r="M5" s="7" t="str">
        <x:v>报价核对点</x:v>
      </x:c>
    </x:row>
    <x:row r="6" ht="92" customHeight="1">
      <x:c r="A6" s="2" t="str">
        <x:v>全包基础</x:v>
      </x:c>
      <x:c r="B6" s="2" t="str">
        <x:v>全拆旧与垃圾清运</x:v>
      </x:c>
      <x:c r="C6" s="11" t="n">
        <x:v>6000</x:v>
      </x:c>
      <x:c r="D6" s="11" t="n">
        <x:v>9000</x:v>
      </x:c>
      <x:c r="E6" s="11" t="n">
        <x:v>7500</x:v>
      </x:c>
      <x:c r="F6" s="12" t="str">
        <x:v>1 硬装施工</x:v>
      </x:c>
      <x:c r="G6" s="12" t="n">
        <x:v>1</x:v>
      </x:c>
      <x:c r="H6" s="8" t="n">
        <x:f>C6*G6</x:f>
        <x:v>6000</x:v>
      </x:c>
      <x:c r="I6" s="8" t="n">
        <x:f>D6*G6</x:f>
        <x:v>9000</x:v>
      </x:c>
      <x:c r="J6" s="8" t="n">
        <x:f>E6*G6</x:f>
        <x:v>7500</x:v>
      </x:c>
      <x:c r="K6" s="2" t="n">
        <x:f>VALUE(LEFT(F6,1))</x:f>
        <x:v>1</x:v>
      </x:c>
      <x:c r="L6" s="13" t="str">
        <x:v>旧地面、厨卫墙砖、旧橱柜洁具、旧门套等；拆客厅后加隔
间，其他布局保留。</x:v>
      </x:c>
      <x:c r="M6" s="13" t="str">
        <x:v>列明拆除范围、装袋、下楼、外运及清运次数；电梯可用。原家具清
走情况现场核对。</x:v>
      </x:c>
    </x:row>
    <x:row r="7" ht="92" customHeight="1">
      <x:c r="A7" s="2" t="str">
        <x:v>全包基础</x:v>
      </x:c>
      <x:c r="B7" s="2" t="str">
        <x:v>水电重做及未来设备预留</x:v>
      </x:c>
      <x:c r="C7" s="11" t="n">
        <x:v>9000</x:v>
      </x:c>
      <x:c r="D7" s="11" t="n">
        <x:v>13000</x:v>
      </x:c>
      <x:c r="E7" s="11" t="n">
        <x:v>10500</x:v>
      </x:c>
      <x:c r="F7" s="12" t="str">
        <x:v>1 硬装施工</x:v>
      </x:c>
      <x:c r="G7" s="12" t="n">
        <x:v>1</x:v>
      </x:c>
      <x:c r="H7" s="8" t="n">
        <x:f>C7*G7</x:f>
        <x:v>9000</x:v>
      </x:c>
      <x:c r="I7" s="8" t="n">
        <x:f>D7*G7</x:f>
        <x:v>13000</x:v>
      </x:c>
      <x:c r="J7" s="8" t="n">
        <x:f>E7*G7</x:f>
        <x:v>10500</x:v>
      </x:c>
      <x:c r="K7" s="2" t="n">
        <x:f>VALUE(LEFT(F7,1))</x:f>
        <x:v>1</x:v>
      </x:c>
      <x:c r="L7" s="13" t="str">
        <x:v>灯具线路、37个电源插座、7组开关、4组网口，窗边两工位
；空调、窗帘、洗烘机、洗碗机及机器人接口。 梳妆接口移
次卧，机器人及洗碗机水电移厨房相邻检修柜。</x:v>
      </x:c>
      <x:c r="M7" s="13" t="str">
        <x:v>列完整点位图、回路、管线规格；此行含管线底盒，面板在灯具项。
点位为规划，电工现场核定；不要把插排算作固定插座替代。</x:v>
      </x:c>
    </x:row>
    <x:row r="8" ht="92" customHeight="1">
      <x:c r="A8" s="2" t="str">
        <x:v>全包基础</x:v>
      </x:c>
      <x:c r="B8" s="2" t="str">
        <x:v>防水、找平及基层修复</x:v>
      </x:c>
      <x:c r="C8" s="11" t="n">
        <x:v>4500</x:v>
      </x:c>
      <x:c r="D8" s="11" t="n">
        <x:v>7500</x:v>
      </x:c>
      <x:c r="E8" s="11" t="n">
        <x:v>6000</x:v>
      </x:c>
      <x:c r="F8" s="12" t="str">
        <x:v>1 硬装施工</x:v>
      </x:c>
      <x:c r="G8" s="12" t="n">
        <x:v>1</x:v>
      </x:c>
      <x:c r="H8" s="8" t="n">
        <x:f>C8*G8</x:f>
        <x:v>4500</x:v>
      </x:c>
      <x:c r="I8" s="8" t="n">
        <x:f>D8*G8</x:f>
        <x:v>7500</x:v>
      </x:c>
      <x:c r="J8" s="8" t="n">
        <x:f>E8*G8</x:f>
        <x:v>6000</x:v>
      </x:c>
      <x:c r="K8" s="2" t="n">
        <x:f>VALUE(LEFT(F8,1))</x:f>
        <x:v>1</x:v>
      </x:c>
      <x:c r="L8" s="13" t="str">
        <x:v>拆除后的墙地面修复、必要找平、厨卫需做的防水与施工检
验。</x:v>
      </x:c>
      <x:c r="M8" s="13" t="str">
        <x:v>区分拆除、修复、防水和铺砖工序，避免同一找平工程重复计价；旧
基层状态拆后复核。</x:v>
      </x:c>
    </x:row>
    <x:row r="9" ht="92" customHeight="1">
      <x:c r="A9" s="2" t="str">
        <x:v>全包基础</x:v>
      </x:c>
      <x:c r="B9" s="2" t="str">
        <x:v>瓷砖、铺贴及收口</x:v>
      </x:c>
      <x:c r="C9" s="11" t="n">
        <x:v>11000</x:v>
      </x:c>
      <x:c r="D9" s="11" t="n">
        <x:v>15000</x:v>
      </x:c>
      <x:c r="E9" s="11" t="n">
        <x:v>13000</x:v>
      </x:c>
      <x:c r="F9" s="12" t="str">
        <x:v>1 硬装施工</x:v>
      </x:c>
      <x:c r="G9" s="12" t="n">
        <x:v>1</x:v>
      </x:c>
      <x:c r="H9" s="8" t="n">
        <x:f>C9*G9</x:f>
        <x:v>11000</x:v>
      </x:c>
      <x:c r="I9" s="8" t="n">
        <x:f>D9*G9</x:f>
        <x:v>15000</x:v>
      </x:c>
      <x:c r="J9" s="8" t="n">
        <x:f>E9*G9</x:f>
        <x:v>13000</x:v>
      </x:c>
      <x:c r="K9" s="2" t="n">
        <x:f>VALUE(LEFT(F9,1))</x:f>
        <x:v>1</x:v>
      </x:c>
      <x:c r="L9" s="13" t="str">
        <x:v>客厅与两卧均铺瓷砖；厨卫墙地砖、阳台地面按实测；含辅
料、踢脚线及填缝收口。</x:v>
      </x:c>
      <x:c r="M9" s="13" t="str">
        <x:v>按净铺贴面积报价，列品牌型号、损耗、铺贴规格、辅料与收口；54
.4㎡只是图上已标房间面积合计。</x:v>
      </x:c>
    </x:row>
    <x:row r="10" ht="92" customHeight="1">
      <x:c r="A10" s="2" t="str">
        <x:v>全包基础</x:v>
      </x:c>
      <x:c r="B10" s="2" t="str">
        <x:v>墙顶基层与乳胶漆</x:v>
      </x:c>
      <x:c r="C10" s="11" t="n">
        <x:v>5500</x:v>
      </x:c>
      <x:c r="D10" s="11" t="n">
        <x:v>8000</x:v>
      </x:c>
      <x:c r="E10" s="11" t="n">
        <x:v>6500</x:v>
      </x:c>
      <x:c r="F10" s="12" t="str">
        <x:v>1 硬装施工</x:v>
      </x:c>
      <x:c r="G10" s="12" t="n">
        <x:v>1</x:v>
      </x:c>
      <x:c r="H10" s="8" t="n">
        <x:f>C10*G10</x:f>
        <x:v>5500</x:v>
      </x:c>
      <x:c r="I10" s="8" t="n">
        <x:f>D10*G10</x:f>
        <x:v>8000</x:v>
      </x:c>
      <x:c r="J10" s="8" t="n">
        <x:f>E10*G10</x:f>
        <x:v>6500</x:v>
      </x:c>
      <x:c r="K10" s="2" t="n">
        <x:f>VALUE(LEFT(F10,1))</x:f>
        <x:v>1</x:v>
      </x:c>
      <x:c r="L10" s="13" t="str">
        <x:v>简单墙顶面处理及乳胶漆，不做复杂背景墙。</x:v>
      </x:c>
      <x:c r="M10" s="13" t="str">
        <x:v>列施工面积、基层处理方式、腻子及涂料型号；墙皮铲除若在拆旧中
已计，不重复加。</x:v>
      </x:c>
    </x:row>
    <x:row r="11" ht="92" customHeight="1">
      <x:c r="A11" s="2" t="str">
        <x:v>全包基础</x:v>
      </x:c>
      <x:c r="B11" s="2" t="str">
        <x:v>厨卫吊顶及必要局部吊顶</x:v>
      </x:c>
      <x:c r="C11" s="11" t="n">
        <x:v>1800</x:v>
      </x:c>
      <x:c r="D11" s="11" t="n">
        <x:v>3000</x:v>
      </x:c>
      <x:c r="E11" s="11" t="n">
        <x:v>2200</x:v>
      </x:c>
      <x:c r="F11" s="12" t="str">
        <x:v>1 硬装施工</x:v>
      </x:c>
      <x:c r="G11" s="12" t="n">
        <x:v>1</x:v>
      </x:c>
      <x:c r="H11" s="8" t="n">
        <x:f>C11*G11</x:f>
        <x:v>1800</x:v>
      </x:c>
      <x:c r="I11" s="8" t="n">
        <x:f>D11*G11</x:f>
        <x:v>3000</x:v>
      </x:c>
      <x:c r="J11" s="8" t="n">
        <x:f>E11*G11</x:f>
        <x:v>2200</x:v>
      </x:c>
      <x:c r="K11" s="2" t="n">
        <x:f>VALUE(LEFT(F11,1))</x:f>
        <x:v>1</x:v>
      </x:c>
      <x:c r="L11" s="13" t="str">
        <x:v>厨卫基础吊顶及必要遮管，整体从简。</x:v>
      </x:c>
      <x:c r="M11" s="13" t="str">
        <x:v>主卧顶柜另在收纳项；复杂客厅造型未列入。</x:v>
      </x:c>
    </x:row>
    <x:row r="12" ht="92" customHeight="1">
      <x:c r="A12" s="2" t="str">
        <x:v>全包基础</x:v>
      </x:c>
      <x:c r="B12" s="2" t="str">
        <x:v>室内门及门套</x:v>
      </x:c>
      <x:c r="C12" s="11" t="n">
        <x:v>3500</x:v>
      </x:c>
      <x:c r="D12" s="11" t="n">
        <x:v>5500</x:v>
      </x:c>
      <x:c r="E12" s="11" t="n">
        <x:v>4500</x:v>
      </x:c>
      <x:c r="F12" s="12" t="str">
        <x:v>1 硬装施工</x:v>
      </x:c>
      <x:c r="G12" s="12" t="n">
        <x:v>1</x:v>
      </x:c>
      <x:c r="H12" s="8" t="n">
        <x:f>C12*G12</x:f>
        <x:v>3500</x:v>
      </x:c>
      <x:c r="I12" s="8" t="n">
        <x:f>D12*G12</x:f>
        <x:v>5500</x:v>
      </x:c>
      <x:c r="J12" s="8" t="n">
        <x:f>E12*G12</x:f>
        <x:v>4500</x:v>
      </x:c>
      <x:c r="K12" s="2" t="n">
        <x:f>VALUE(LEFT(F12,1))</x:f>
        <x:v>1</x:v>
      </x:c>
      <x:c r="L12" s="13" t="str">
        <x:v>两卧、卫生间及厨房需更换的门，暂按3～4樘估算。</x:v>
      </x:c>
      <x:c r="M12" s="13" t="str">
        <x:v>实测数量，列门扇门套、五金、门槛和安装；入户门另列。</x:v>
      </x:c>
    </x:row>
    <x:row r="13" ht="92" customHeight="1">
      <x:c r="A13" s="2" t="str">
        <x:v>全包基础</x:v>
      </x:c>
      <x:c r="B13" s="2" t="str">
        <x:v>橱柜、台面、水槽与龙头</x:v>
      </x:c>
      <x:c r="C13" s="11" t="n">
        <x:v>6500</x:v>
      </x:c>
      <x:c r="D13" s="11" t="n">
        <x:v>9500</x:v>
      </x:c>
      <x:c r="E13" s="11" t="n">
        <x:v>8000</x:v>
      </x:c>
      <x:c r="F13" s="12" t="str">
        <x:v>1 硬装施工</x:v>
      </x:c>
      <x:c r="G13" s="12" t="n">
        <x:v>1</x:v>
      </x:c>
      <x:c r="H13" s="8" t="n">
        <x:f>C13*G13</x:f>
        <x:v>6500</x:v>
      </x:c>
      <x:c r="I13" s="8" t="n">
        <x:f>D13*G13</x:f>
        <x:v>9500</x:v>
      </x:c>
      <x:c r="J13" s="8" t="n">
        <x:f>E13*G13</x:f>
        <x:v>8000</x:v>
      </x:c>
      <x:c r="K13" s="2" t="n">
        <x:f>VALUE(LEFT(F13,1))</x:f>
        <x:v>1</x:v>
      </x:c>
      <x:c r="L13" s="13" t="str">
        <x:v>基础地柜吊柜、台面、水槽龙头。南短柜左侧留60cm洗碗机
开放仓，右侧留56.4cm机器人开放仓；其余地柜封底。</x:v>
      </x:c>
      <x:c r="M13" s="13" t="str">
        <x:v>两开放仓计在柜体项，设备后买。洗碗机仓不设背板，柜位深度、开
门、排气与旁柜接口按设备安装图核对。</x:v>
      </x:c>
    </x:row>
    <x:row r="14" ht="92" customHeight="1">
      <x:c r="A14" s="2" t="str">
        <x:v>全包基础</x:v>
      </x:c>
      <x:c r="B14" s="2" t="str">
        <x:v>基础卫浴</x:v>
      </x:c>
      <x:c r="C14" s="11" t="n">
        <x:v>2800</x:v>
      </x:c>
      <x:c r="D14" s="11" t="n">
        <x:v>4500</x:v>
      </x:c>
      <x:c r="E14" s="11" t="n">
        <x:v>3500</x:v>
      </x:c>
      <x:c r="F14" s="12" t="str">
        <x:v>1 硬装施工</x:v>
      </x:c>
      <x:c r="G14" s="12" t="n">
        <x:v>1</x:v>
      </x:c>
      <x:c r="H14" s="8" t="n">
        <x:f>C14*G14</x:f>
        <x:v>2800</x:v>
      </x:c>
      <x:c r="I14" s="8" t="n">
        <x:f>D14*G14</x:f>
        <x:v>4500</x:v>
      </x:c>
      <x:c r="J14" s="8" t="n">
        <x:f>E14*G14</x:f>
        <x:v>3500</x:v>
      </x:c>
      <x:c r="K14" s="2" t="n">
        <x:f>VALUE(LEFT(F14,1))</x:f>
        <x:v>1</x:v>
      </x:c>
      <x:c r="L14" s="13" t="str">
        <x:v>蹲便器及水箱、花洒、洗手盆/小浴室柜、地漏和基础配件；
开放式淋浴。</x:v>
      </x:c>
      <x:c r="M14" s="13" t="str">
        <x:v>蹲便形式保留；便器设备按新购预留，旧件是否能复用现场核对。防
水和管线在对应工种项。</x:v>
      </x:c>
    </x:row>
    <x:row r="15" ht="92" customHeight="1">
      <x:c r="A15" s="2" t="str">
        <x:v>全包基础</x:v>
      </x:c>
      <x:c r="B15" s="2" t="str">
        <x:v>主卧及基础收纳</x:v>
      </x:c>
      <x:c r="C15" s="11" t="n">
        <x:v>5000</x:v>
      </x:c>
      <x:c r="D15" s="11" t="n">
        <x:v>9000</x:v>
      </x:c>
      <x:c r="E15" s="11" t="n">
        <x:v>6500</x:v>
      </x:c>
      <x:c r="F15" s="12" t="str">
        <x:v>1 硬装施工</x:v>
      </x:c>
      <x:c r="G15" s="12" t="n">
        <x:v>1</x:v>
      </x:c>
      <x:c r="H15" s="8" t="n">
        <x:f>C15*G15</x:f>
        <x:v>5000</x:v>
      </x:c>
      <x:c r="I15" s="8" t="n">
        <x:f>D15*G15</x:f>
        <x:v>9000</x:v>
      </x:c>
      <x:c r="J15" s="8" t="n">
        <x:f>E15*G15</x:f>
        <x:v>6500</x:v>
      </x:c>
      <x:c r="K15" s="2" t="n">
        <x:f>VALUE(LEFT(F15,1))</x:f>
        <x:v>1</x:v>
      </x:c>
      <x:c r="L15" s="13" t="str">
        <x:v>入口214×42cm组合柜（鞋柜120cm、外套60cm、杂物34cm）；
主卧182×55cm（125cm干净挂衣＋57cm独立脏衣仓）；次卧11
0×50cm柜，全部落地封底、顶部收口。</x:v>
      </x:c>
      <x:c r="M15" s="13" t="str">
        <x:v>包含入口、主卧顶柜和次卧全高柜及帘杆、封板；篮子挂钩配件另列
，不重复柜体。新增八处吊柜另列可选；核对承重、板材五金与衣物
量。</x:v>
      </x:c>
    </x:row>
    <x:row r="16" ht="92" customHeight="1">
      <x:c r="A16" s="2" t="str">
        <x:v>门窗补充</x:v>
      </x:c>
      <x:c r="B16" s="2" t="str">
        <x:v>外窗全部换新</x:v>
      </x:c>
      <x:c r="C16" s="11" t="n">
        <x:v>7000</x:v>
      </x:c>
      <x:c r="D16" s="11" t="n">
        <x:v>12000</x:v>
      </x:c>
      <x:c r="E16" s="11" t="n">
        <x:v>9000</x:v>
      </x:c>
      <x:c r="F16" s="12" t="str">
        <x:v>1 硬装施工</x:v>
      </x:c>
      <x:c r="G16" s="12" t="n">
        <x:v>1</x:v>
      </x:c>
      <x:c r="H16" s="8" t="n">
        <x:f>C16*G16</x:f>
        <x:v>7000</x:v>
      </x:c>
      <x:c r="I16" s="8" t="n">
        <x:f>D16*G16</x:f>
        <x:v>12000</x:v>
      </x:c>
      <x:c r="J16" s="8" t="n">
        <x:f>E16*G16</x:f>
        <x:v>9000</x:v>
      </x:c>
      <x:c r="K16" s="2" t="n">
        <x:f>VALUE(LEFT(F16,1))</x:f>
        <x:v>1</x:v>
      </x:c>
      <x:c r="L16" s="13" t="str">
        <x:v>现有外窗全部更换；面积及开启方式尚未实测。</x:v>
      </x:c>
      <x:c r="M16" s="13" t="str">
        <x:v>预算占位，按每樘窗尺寸、型材玻璃、拆旧安装、密封收口核算；新
增封阳台工程范围需现场明确。</x:v>
      </x:c>
    </x:row>
    <x:row r="17" ht="92" customHeight="1">
      <x:c r="A17" s="2" t="str">
        <x:v>门窗补充</x:v>
      </x:c>
      <x:c r="B17" s="2" t="str">
        <x:v>入户门换新</x:v>
      </x:c>
      <x:c r="C17" s="11" t="n">
        <x:v>2500</x:v>
      </x:c>
      <x:c r="D17" s="11" t="n">
        <x:v>4000</x:v>
      </x:c>
      <x:c r="E17" s="11" t="n">
        <x:v>3000</x:v>
      </x:c>
      <x:c r="F17" s="12" t="str">
        <x:v>1 硬装施工</x:v>
      </x:c>
      <x:c r="G17" s="12" t="n">
        <x:v>1</x:v>
      </x:c>
      <x:c r="H17" s="8" t="n">
        <x:f>C17*G17</x:f>
        <x:v>2500</x:v>
      </x:c>
      <x:c r="I17" s="8" t="n">
        <x:f>D17*G17</x:f>
        <x:v>4000</x:v>
      </x:c>
      <x:c r="J17" s="8" t="n">
        <x:f>E17*G17</x:f>
        <x:v>3000</x:v>
      </x:c>
      <x:c r="K17" s="2" t="n">
        <x:f>VALUE(LEFT(F17,1))</x:f>
        <x:v>1</x:v>
      </x:c>
      <x:c r="L17" s="13" t="str">
        <x:v>新入户门、常规配套锁具、拆旧安装与收口。</x:v>
      </x:c>
      <x:c r="M17" s="13" t="str">
        <x:v>此行按普通配套锁估算；智能锁是否升级未确认，另作可选差价。</x:v>
      </x:c>
    </x:row>
    <x:row r="18" ht="92" customHeight="1">
      <x:c r="A18" s="2" t="str">
        <x:v>门窗补充</x:v>
      </x:c>
      <x:c r="B18" s="2" t="str">
        <x:v>猫用窗户防护</x:v>
      </x:c>
      <x:c r="C18" s="11" t="n">
        <x:v>600</x:v>
      </x:c>
      <x:c r="D18" s="11" t="n">
        <x:v>1500</x:v>
      </x:c>
      <x:c r="E18" s="11" t="n">
        <x:v>1000</x:v>
      </x:c>
      <x:c r="F18" s="12" t="str">
        <x:v>1 硬装施工</x:v>
      </x:c>
      <x:c r="G18" s="12" t="n">
        <x:v>1</x:v>
      </x:c>
      <x:c r="H18" s="8" t="n">
        <x:f>C18*G18</x:f>
        <x:v>600</x:v>
      </x:c>
      <x:c r="I18" s="8" t="n">
        <x:f>D18*G18</x:f>
        <x:v>1500</x:v>
      </x:c>
      <x:c r="J18" s="8" t="n">
        <x:f>E18*G18</x:f>
        <x:v>1000</x:v>
      </x:c>
      <x:c r="K18" s="2" t="n">
        <x:f>VALUE(LEFT(F18,1))</x:f>
        <x:v>1</x:v>
      </x:c>
      <x:c r="L18" s="13" t="str">
        <x:v>有猫，按可开启窗户配置可靠防护的预算占位。</x:v>
      </x:c>
      <x:c r="M18" s="13" t="str">
        <x:v>核实防护结构、安装固定、开窗与检修方式；避免与窗户套餐中的纱
窗重复算。</x:v>
      </x:c>
    </x:row>
    <x:row r="19" ht="92" customHeight="1">
      <x:c r="A19" s="2" t="str">
        <x:v>灯具窗帘智能</x:v>
      </x:c>
      <x:c r="B19" s="2" t="str">
        <x:v>固定灯具与普通开关插座面板</x:v>
      </x:c>
      <x:c r="C19" s="11" t="n">
        <x:v>2200</x:v>
      </x:c>
      <x:c r="D19" s="11" t="n">
        <x:v>3900</x:v>
      </x:c>
      <x:c r="E19" s="11" t="n">
        <x:v>2960</x:v>
      </x:c>
      <x:c r="F19" s="12" t="str">
        <x:v>1 硬装施工</x:v>
      </x:c>
      <x:c r="G19" s="12" t="n">
        <x:v>1</x:v>
      </x:c>
      <x:c r="H19" s="8" t="n">
        <x:f>C19*G19</x:f>
        <x:v>2200</x:v>
      </x:c>
      <x:c r="I19" s="8" t="n">
        <x:f>D19*G19</x:f>
        <x:v>3900</x:v>
      </x:c>
      <x:c r="J19" s="8" t="n">
        <x:f>E19*G19</x:f>
        <x:v>2960</x:v>
      </x:c>
      <x:c r="K19" s="2" t="n">
        <x:f>VALUE(LEFT(F19,1))</x:f>
        <x:v>1</x:v>
      </x:c>
      <x:c r="L19" s="13" t="str">
        <x:v>14处固定灯具，37个电源插座、7组开关、4组网口面板。两
盏工位台灯在入住阶段另列。</x:v>
      </x:c>
      <x:c r="M19" s="13" t="str">
        <x:v>灯具包含适配湿区及安装配件；普通面板如水电套餐已含则扣重，智
能件只另计升级差价。灯具数量不等于照度设计已完成。</x:v>
      </x:c>
    </x:row>
    <x:row r="20" ht="92" customHeight="1">
      <x:c r="A20" s="2" t="str">
        <x:v>灯具窗帘智能</x:v>
      </x:c>
      <x:c r="B20" s="2" t="str">
        <x:v>工位台灯（两盏）</x:v>
      </x:c>
      <x:c r="C20" s="11" t="n">
        <x:v>200</x:v>
      </x:c>
      <x:c r="D20" s="11" t="n">
        <x:v>400</x:v>
      </x:c>
      <x:c r="E20" s="11" t="n">
        <x:v>240</x:v>
      </x:c>
      <x:c r="F20" s="12" t="str">
        <x:v>2 入住必需</x:v>
      </x:c>
      <x:c r="G20" s="12" t="n">
        <x:v>1</x:v>
      </x:c>
      <x:c r="H20" s="8" t="n">
        <x:f>C20*G20</x:f>
        <x:v>200</x:v>
      </x:c>
      <x:c r="I20" s="8" t="n">
        <x:f>D20*G20</x:f>
        <x:v>400</x:v>
      </x:c>
      <x:c r="J20" s="8" t="n">
        <x:f>E20*G20</x:f>
        <x:v>240</x:v>
      </x:c>
      <x:c r="K20" s="2" t="n">
        <x:f>VALUE(LEFT(F20,1))</x:f>
        <x:v>2</x:v>
      </x:c>
      <x:c r="L20" s="13" t="str">
        <x:v>两张桌子各一盏，暂按每盏120元。</x:v>
      </x:c>
      <x:c r="M20" s="13" t="str">
        <x:v>核对照明、眩光与显示器反光。</x:v>
      </x:c>
    </x:row>
    <x:row r="21" ht="92" customHeight="1">
      <x:c r="A21" s="2" t="str">
        <x:v>灯具窗帘智能</x:v>
      </x:c>
      <x:c r="B21" s="2" t="str">
        <x:v>手拉窗帘与轨道</x:v>
      </x:c>
      <x:c r="C21" s="11" t="n">
        <x:v>1200</x:v>
      </x:c>
      <x:c r="D21" s="11" t="n">
        <x:v>2200</x:v>
      </x:c>
      <x:c r="E21" s="11" t="n">
        <x:v>1600</x:v>
      </x:c>
      <x:c r="F21" s="12" t="str">
        <x:v>2 入住必需</x:v>
      </x:c>
      <x:c r="G21" s="12" t="n">
        <x:v>1</x:v>
      </x:c>
      <x:c r="H21" s="8" t="n">
        <x:f>C21*G21</x:f>
        <x:v>1200</x:v>
      </x:c>
      <x:c r="I21" s="8" t="n">
        <x:f>D21*G21</x:f>
        <x:v>2200</x:v>
      </x:c>
      <x:c r="J21" s="8" t="n">
        <x:f>E21*G21</x:f>
        <x:v>1600</x:v>
      </x:c>
      <x:c r="K21" s="2" t="n">
        <x:f>VALUE(LEFT(F21,1))</x:f>
        <x:v>2</x:v>
      </x:c>
      <x:c r="L21" s="13" t="str">
        <x:v>客厅、卧室先手拉；电动升级电源已列水电预留。</x:v>
      </x:c>
      <x:c r="M21" s="13" t="str">
        <x:v>列布料尺寸、轨道、配件及安装；今后换电机与轨道的兼容性另核对
。</x:v>
      </x:c>
    </x:row>
    <x:row r="22" ht="92" customHeight="1">
      <x:c r="A22" s="2" t="str">
        <x:v>灯具窗帘智能</x:v>
      </x:c>
      <x:c r="B22" s="2" t="str">
        <x:v>基础智能与网络设备</x:v>
      </x:c>
      <x:c r="C22" s="11" t="n">
        <x:v>800</x:v>
      </x:c>
      <x:c r="D22" s="11" t="n">
        <x:v>1800</x:v>
      </x:c>
      <x:c r="E22" s="11" t="n">
        <x:v>1200</x:v>
      </x:c>
      <x:c r="F22" s="12" t="str">
        <x:v>2 入住必需</x:v>
      </x:c>
      <x:c r="G22" s="12" t="n">
        <x:v>1</x:v>
      </x:c>
      <x:c r="H22" s="8" t="n">
        <x:f>C22*G22</x:f>
        <x:v>800</x:v>
      </x:c>
      <x:c r="I22" s="8" t="n">
        <x:f>D22*G22</x:f>
        <x:v>1800</x:v>
      </x:c>
      <x:c r="J22" s="8" t="n">
        <x:f>E22*G22</x:f>
        <x:v>1200</x:v>
      </x:c>
      <x:c r="K22" s="2" t="n">
        <x:f>VALUE(LEFT(F22,1))</x:f>
        <x:v>2</x:v>
      </x:c>
      <x:c r="L22" s="13" t="str">
        <x:v>米家方向；手机、语音控制，基础音箱/网关/路由器和必要
智能开关升级差价。</x:v>
      </x:c>
      <x:c r="M22" s="13" t="str">
        <x:v>型号应相互兼容，具体数量待点位图；普通面板已计价部分扣除，仅
算升级差价。</x:v>
      </x:c>
    </x:row>
    <x:row r="23" ht="92" customHeight="1">
      <x:c r="A23" s="2" t="str">
        <x:v>首批家具</x:v>
      </x:c>
      <x:c r="B23" s="2" t="str">
        <x:v>主卧床架与床垫</x:v>
      </x:c>
      <x:c r="C23" s="11" t="n">
        <x:v>3500</x:v>
      </x:c>
      <x:c r="D23" s="11" t="n">
        <x:v>5500</x:v>
      </x:c>
      <x:c r="E23" s="11" t="n">
        <x:v>4500</x:v>
      </x:c>
      <x:c r="F23" s="12" t="str">
        <x:v>2 入住必需</x:v>
      </x:c>
      <x:c r="G23" s="12" t="n">
        <x:v>1</x:v>
      </x:c>
      <x:c r="H23" s="8" t="n">
        <x:f>C23*G23</x:f>
        <x:v>3500</x:v>
      </x:c>
      <x:c r="I23" s="8" t="n">
        <x:f>D23*G23</x:f>
        <x:v>5500</x:v>
      </x:c>
      <x:c r="J23" s="8" t="n">
        <x:f>E23*G23</x:f>
        <x:v>4500</x:v>
      </x:c>
      <x:c r="K23" s="2" t="n">
        <x:f>VALUE(LEFT(F23,1))</x:f>
        <x:v>2</x:v>
      </x:c>
      <x:c r="L23" s="13" t="str">
        <x:v>助手建议宽1.8米，床长优先2.1米；窄边床架；两人188cm/1
00kg与160cm/50kg。；底部最小净空16cm，最低横梁也须满
足。</x:v>
      </x:c>
      <x:c r="M23" s="13" t="str">
        <x:v>本版先按床头左右对调、靠图面右侧墙；完整床架尺寸、试躺与承重
需复核；2.1米长款如需定制应明确价格。床头封墙，受压后净空和
支脚位置按实物核对。</x:v>
      </x:c>
    </x:row>
    <x:row r="24" ht="92" customHeight="1">
      <x:c r="A24" s="2" t="str">
        <x:v>首批家具</x:v>
      </x:c>
      <x:c r="B24" s="2" t="str">
        <x:v>客厅沙发</x:v>
      </x:c>
      <x:c r="C24" s="11" t="n">
        <x:v>1800</x:v>
      </x:c>
      <x:c r="D24" s="11" t="n">
        <x:v>3200</x:v>
      </x:c>
      <x:c r="E24" s="11" t="n">
        <x:v>2500</x:v>
      </x:c>
      <x:c r="F24" s="12" t="str">
        <x:v>2 入住必需</x:v>
      </x:c>
      <x:c r="G24" s="12" t="n">
        <x:v>1</x:v>
      </x:c>
      <x:c r="H24" s="8" t="n">
        <x:f>C24*G24</x:f>
        <x:v>1800</x:v>
      </x:c>
      <x:c r="I24" s="8" t="n">
        <x:f>D24*G24</x:f>
        <x:v>3200</x:v>
      </x:c>
      <x:c r="J24" s="8" t="n">
        <x:f>E24*G24</x:f>
        <x:v>2500</x:v>
      </x:c>
      <x:c r="K24" s="2" t="n">
        <x:f>VALUE(LEFT(F24,1))</x:f>
        <x:v>2</x:v>
      </x:c>
      <x:c r="L24" s="13" t="str">
        <x:v>保留沙发＋电视/未来游戏主机娱乐区，先按紧凑成品沙发估
算。底部净空16cm。</x:v>
      </x:c>
      <x:c r="M24" s="13" t="str">
        <x:v>尺寸与电视区、餐区、双人工位及通道一起排布。按实物最低横撑与
受压净空选型。</x:v>
      </x:c>
    </x:row>
    <x:row r="25" ht="92" customHeight="1">
      <x:c r="A25" s="2" t="str">
        <x:v>首批家具</x:v>
      </x:c>
      <x:c r="B25" s="2" t="str">
        <x:v>餐桌椅</x:v>
      </x:c>
      <x:c r="C25" s="11" t="n">
        <x:v>1000</x:v>
      </x:c>
      <x:c r="D25" s="11" t="n">
        <x:v>2000</x:v>
      </x:c>
      <x:c r="E25" s="11" t="n">
        <x:v>1400</x:v>
      </x:c>
      <x:c r="F25" s="12" t="str">
        <x:v>2 入住必需</x:v>
      </x:c>
      <x:c r="G25" s="12" t="n">
        <x:v>1</x:v>
      </x:c>
      <x:c r="H25" s="8" t="n">
        <x:f>C25*G25</x:f>
        <x:v>1000</x:v>
      </x:c>
      <x:c r="I25" s="8" t="n">
        <x:f>D25*G25</x:f>
        <x:v>2000</x:v>
      </x:c>
      <x:c r="J25" s="8" t="n">
        <x:f>E25*G25</x:f>
        <x:v>1400</x:v>
      </x:c>
      <x:c r="K25" s="2" t="n">
        <x:f>VALUE(LEFT(F25,1))</x:f>
        <x:v>2</x:v>
      </x:c>
      <x:c r="L25" s="13" t="str">
        <x:v>固定120×70cm餐桌＋两把餐椅；取消折叠方案。桌腿内净99×
53cm，椅腿内净约46cm为占位目标。</x:v>
      </x:c>
      <x:c r="M25" s="13" t="str">
        <x:v>选无低位横撑款，核对实际腿间距、稳定性及承重；餐椅清扫时收近
或移开，不靠折叠节省空间。</x:v>
      </x:c>
    </x:row>
    <x:row r="26" ht="92" customHeight="1">
      <x:c r="A26" s="2" t="str">
        <x:v>首批家具</x:v>
      </x:c>
      <x:c r="B26" s="2" t="str">
        <x:v>两张电脑桌</x:v>
      </x:c>
      <x:c r="C26" s="11" t="n">
        <x:v>1000</x:v>
      </x:c>
      <x:c r="D26" s="11" t="n">
        <x:v>1800</x:v>
      </x:c>
      <x:c r="E26" s="11" t="n">
        <x:v>1400</x:v>
      </x:c>
      <x:c r="F26" s="12" t="str">
        <x:v>2 入住必需</x:v>
      </x:c>
      <x:c r="G26" s="12" t="n">
        <x:v>1</x:v>
      </x:c>
      <x:c r="H26" s="8" t="n">
        <x:f>C26*G26</x:f>
        <x:v>1000</x:v>
      </x:c>
      <x:c r="I26" s="8" t="n">
        <x:f>D26*G26</x:f>
        <x:v>1800</x:v>
      </x:c>
      <x:c r="J26" s="8" t="n">
        <x:f>E26*G26</x:f>
        <x:v>1400</x:v>
      </x:c>
      <x:c r="K26" s="2" t="n">
        <x:f>VALUE(LEFT(F26,1))</x:f>
        <x:v>2</x:v>
      </x:c>
      <x:c r="L26" s="13" t="str">
        <x:v>两台台式机各一块屏幕；本版两张120×60cm桌，放在客厅靠
阳台窗的两侧墙边。</x:v>
      </x:c>
      <x:c r="M26" s="13" t="str">
        <x:v>电脑硬件不计采购；核对显示器与主机外尺寸。按58cm椅子收近桌边
时中间约82cm，需实测已有椅子与阳台门。</x:v>
      </x:c>
    </x:row>
    <x:row r="27" ht="92" customHeight="1">
      <x:c r="A27" s="2" t="str">
        <x:v>首批家具</x:v>
      </x:c>
      <x:c r="B27" s="2" t="str">
        <x:v>补一把电脑椅</x:v>
      </x:c>
      <x:c r="C27" s="11" t="n">
        <x:v>600</x:v>
      </x:c>
      <x:c r="D27" s="11" t="n">
        <x:v>1200</x:v>
      </x:c>
      <x:c r="E27" s="11" t="n">
        <x:v>900</x:v>
      </x:c>
      <x:c r="F27" s="12" t="str">
        <x:v>2 入住必需</x:v>
      </x:c>
      <x:c r="G27" s="12" t="n">
        <x:v>1</x:v>
      </x:c>
      <x:c r="H27" s="8" t="n">
        <x:f>C27*G27</x:f>
        <x:v>600</x:v>
      </x:c>
      <x:c r="I27" s="8" t="n">
        <x:f>D27*G27</x:f>
        <x:v>1200</x:v>
      </x:c>
      <x:c r="J27" s="8" t="n">
        <x:f>E27*G27</x:f>
        <x:v>900</x:v>
      </x:c>
      <x:c r="K27" s="2" t="n">
        <x:f>VALUE(LEFT(F27,1))</x:f>
        <x:v>2</x:v>
      </x:c>
      <x:c r="L27" s="13" t="str">
        <x:v>已有一把电脑椅，另一把按新购估算。</x:v>
      </x:c>
      <x:c r="M27" s="13" t="str">
        <x:v>已有椅子的搬运另与搬家统一考虑。</x:v>
      </x:c>
    </x:row>
    <x:row r="28" ht="92" customHeight="1">
      <x:c r="A28" s="2" t="str">
        <x:v>首批家具</x:v>
      </x:c>
      <x:c r="B28" s="2" t="str">
        <x:v>梳妆台</x:v>
      </x:c>
      <x:c r="C28" s="11" t="n">
        <x:v>600</x:v>
      </x:c>
      <x:c r="D28" s="11" t="n">
        <x:v>1200</x:v>
      </x:c>
      <x:c r="E28" s="11" t="n">
        <x:v>800</x:v>
      </x:c>
      <x:c r="F28" s="12" t="str">
        <x:v>2 入住必需</x:v>
      </x:c>
      <x:c r="G28" s="12" t="n">
        <x:v>1</x:v>
      </x:c>
      <x:c r="H28" s="8" t="n">
        <x:f>C28*G28</x:f>
        <x:v>600</x:v>
      </x:c>
      <x:c r="I28" s="8" t="n">
        <x:f>D28*G28</x:f>
        <x:v>1200</x:v>
      </x:c>
      <x:c r="J28" s="8" t="n">
        <x:f>E28*G28</x:f>
        <x:v>800</x:v>
      </x:c>
      <x:c r="K28" s="2" t="n">
        <x:f>VALUE(LEFT(F28,1))</x:f>
        <x:v>2</x:v>
      </x:c>
      <x:c r="L28" s="13" t="str">
        <x:v>改放次卧右墙：80×40cm悬空台、镜与38×38cm凳。台前至客
床约98.5cm，凳停台下。</x:v>
      </x:c>
      <x:c r="M28" s="13" t="str">
        <x:v>插座G-P3与镜灯V-L1移到次卧。悬空固定按墙体核定，不能可靠固定
时做封底落地款。</x:v>
      </x:c>
    </x:row>
    <x:row r="29" ht="92" customHeight="1">
      <x:c r="A29" s="2" t="str">
        <x:v>首批家具</x:v>
      </x:c>
      <x:c r="B29" s="2" t="str">
        <x:v>入住杂项与开荒保洁</x:v>
      </x:c>
      <x:c r="C29" s="11" t="n">
        <x:v>1000</x:v>
      </x:c>
      <x:c r="D29" s="11" t="n">
        <x:v>2000</x:v>
      </x:c>
      <x:c r="E29" s="11" t="n">
        <x:v>1500</x:v>
      </x:c>
      <x:c r="F29" s="12" t="str">
        <x:v>2 入住必需</x:v>
      </x:c>
      <x:c r="G29" s="12" t="n">
        <x:v>1</x:v>
      </x:c>
      <x:c r="H29" s="8" t="n">
        <x:f>C29*G29</x:f>
        <x:v>1000</x:v>
      </x:c>
      <x:c r="I29" s="8" t="n">
        <x:f>D29*G29</x:f>
        <x:v>2000</x:v>
      </x:c>
      <x:c r="J29" s="8" t="n">
        <x:f>E29*G29</x:f>
        <x:v>1500</x:v>
      </x:c>
      <x:c r="K29" s="2" t="n">
        <x:f>VALUE(LEFT(F29,1))</x:f>
        <x:v>2</x:v>
      </x:c>
      <x:c r="L29" s="13" t="str">
        <x:v>基础床品、晾衣小物、活动五金、基础猫用品及开荒保洁。</x:v>
      </x:c>
      <x:c r="M29" s="13" t="str">
        <x:v>施工安装五金已在对应项目，不重复；已有电饭锅、空气炸锅继续用
。</x:v>
      </x:c>
    </x:row>
    <x:row r="30" ht="92" customHeight="1">
      <x:c r="A30" s="2" t="str">
        <x:v>首批家电</x:v>
      </x:c>
      <x:c r="B30" s="2" t="str">
        <x:v>主卧空调</x:v>
      </x:c>
      <x:c r="C30" s="11" t="n">
        <x:v>1800</x:v>
      </x:c>
      <x:c r="D30" s="11" t="n">
        <x:v>2500</x:v>
      </x:c>
      <x:c r="E30" s="11" t="n">
        <x:v>2200</x:v>
      </x:c>
      <x:c r="F30" s="12" t="str">
        <x:v>2 入住必需</x:v>
      </x:c>
      <x:c r="G30" s="12" t="n">
        <x:v>1</x:v>
      </x:c>
      <x:c r="H30" s="8" t="n">
        <x:f>C30*G30</x:f>
        <x:v>1800</x:v>
      </x:c>
      <x:c r="I30" s="8" t="n">
        <x:f>D30*G30</x:f>
        <x:v>2500</x:v>
      </x:c>
      <x:c r="J30" s="8" t="n">
        <x:f>E30*G30</x:f>
        <x:v>2200</x:v>
      </x:c>
      <x:c r="K30" s="2" t="n">
        <x:f>VALUE(LEFT(F30,1))</x:f>
        <x:v>2</x:v>
      </x:c>
      <x:c r="L30" s="13" t="str">
        <x:v>优先米家/小米1～1.5匹变频，卧室首批只买主卧；冬季空调
取暖。</x:v>
      </x:c>
      <x:c r="M30" s="13" t="str">
        <x:v>官网当前有1.5匹产品；型号、配色、安装条件与实际到手价以采购
时核对。</x:v>
      </x:c>
    </x:row>
    <x:row r="31" ht="92" customHeight="1">
      <x:c r="A31" s="2" t="str">
        <x:v>首批家电</x:v>
      </x:c>
      <x:c r="B31" s="2" t="str">
        <x:v>冰箱</x:v>
      </x:c>
      <x:c r="C31" s="11" t="n">
        <x:v>2000</x:v>
      </x:c>
      <x:c r="D31" s="11" t="n">
        <x:v>3000</x:v>
      </x:c>
      <x:c r="E31" s="11" t="n">
        <x:v>2500</x:v>
      </x:c>
      <x:c r="F31" s="12" t="str">
        <x:v>2 入住必需</x:v>
      </x:c>
      <x:c r="G31" s="12" t="n">
        <x:v>1</x:v>
      </x:c>
      <x:c r="H31" s="8" t="n">
        <x:f>C31*G31</x:f>
        <x:v>2000</x:v>
      </x:c>
      <x:c r="I31" s="8" t="n">
        <x:f>D31*G31</x:f>
        <x:v>3000</x:v>
      </x:c>
      <x:c r="J31" s="8" t="n">
        <x:f>E31*G31</x:f>
        <x:v>2500</x:v>
      </x:c>
      <x:c r="K31" s="2" t="n">
        <x:f>VALUE(LEFT(F31,1))</x:f>
        <x:v>2</x:v>
      </x:c>
      <x:c r="L31" s="13" t="str">
        <x:v>优先米家风冷，先按300～400L级预算，最终按柜位尺寸选择
。</x:v>
      </x:c>
      <x:c r="M31" s="13" t="str">
        <x:v>容量只是方向；机身宽深、散热、开门和搬运尺寸必须先核对。</x:v>
      </x:c>
    </x:row>
    <x:row r="32" ht="92" customHeight="1">
      <x:c r="A32" s="2" t="str">
        <x:v>首批家电</x:v>
      </x:c>
      <x:c r="B32" s="2" t="str">
        <x:v>洗烘一体机</x:v>
      </x:c>
      <x:c r="C32" s="11" t="n">
        <x:v>1900</x:v>
      </x:c>
      <x:c r="D32" s="11" t="n">
        <x:v>3000</x:v>
      </x:c>
      <x:c r="E32" s="11" t="n">
        <x:v>2500</x:v>
      </x:c>
      <x:c r="F32" s="12" t="str">
        <x:v>2 入住必需</x:v>
      </x:c>
      <x:c r="G32" s="12" t="n">
        <x:v>1</x:v>
      </x:c>
      <x:c r="H32" s="8" t="n">
        <x:f>C32*G32</x:f>
        <x:v>1900</x:v>
      </x:c>
      <x:c r="I32" s="8" t="n">
        <x:f>D32*G32</x:f>
        <x:v>3000</x:v>
      </x:c>
      <x:c r="J32" s="8" t="n">
        <x:f>E32*G32</x:f>
        <x:v>2500</x:v>
      </x:c>
      <x:c r="K32" s="2" t="n">
        <x:f>VALUE(LEFT(F32,1))</x:f>
        <x:v>2</x:v>
      </x:c>
      <x:c r="L32" s="13" t="str">
        <x:v>优先米家10～12kg洗烘一体，一台设备完成洗衣与烘干。</x:v>
      </x:c>
      <x:c r="M32" s="13" t="str">
        <x:v>是洗烘一体机；洗与烘额定容量分别查说明书，摆放区上下水和机身
外尺寸待复尺。</x:v>
      </x:c>
    </x:row>
    <x:row r="33" ht="92" customHeight="1">
      <x:c r="A33" s="2" t="str">
        <x:v>首批家电</x:v>
      </x:c>
      <x:c r="B33" s="2" t="str">
        <x:v>天然气烟灶套装</x:v>
      </x:c>
      <x:c r="C33" s="11" t="n">
        <x:v>1800</x:v>
      </x:c>
      <x:c r="D33" s="11" t="n">
        <x:v>2600</x:v>
      </x:c>
      <x:c r="E33" s="11" t="n">
        <x:v>2200</x:v>
      </x:c>
      <x:c r="F33" s="12" t="str">
        <x:v>1 硬装施工</x:v>
      </x:c>
      <x:c r="G33" s="12" t="n">
        <x:v>1</x:v>
      </x:c>
      <x:c r="H33" s="8" t="n">
        <x:f>C33*G33</x:f>
        <x:v>1800</x:v>
      </x:c>
      <x:c r="I33" s="8" t="n">
        <x:f>D33*G33</x:f>
        <x:v>2600</x:v>
      </x:c>
      <x:c r="J33" s="8" t="n">
        <x:f>E33*G33</x:f>
        <x:v>2200</x:v>
      </x:c>
      <x:c r="K33" s="2" t="n">
        <x:f>VALUE(LEFT(F33,1))</x:f>
        <x:v>1</x:v>
      </x:c>
      <x:c r="L33" s="13" t="str">
        <x:v>天然气已开通；优先米家常规烟机＋天然气灶。</x:v>
      </x:c>
      <x:c r="M33" s="13" t="str">
        <x:v>灶具气源、开孔、烟机尺寸、排烟连接按现选产品核对，烟灶不与橱
柜台面重复报价。</x:v>
      </x:c>
    </x:row>
    <x:row r="34" ht="92" customHeight="1">
      <x:c r="A34" s="2" t="str">
        <x:v>首批家电</x:v>
      </x:c>
      <x:c r="B34" s="2" t="str">
        <x:v>燃气热水器</x:v>
      </x:c>
      <x:c r="C34" s="11" t="n">
        <x:v>1500</x:v>
      </x:c>
      <x:c r="D34" s="11" t="n">
        <x:v>2300</x:v>
      </x:c>
      <x:c r="E34" s="11" t="n">
        <x:v>1900</x:v>
      </x:c>
      <x:c r="F34" s="12" t="str">
        <x:v>1 硬装施工</x:v>
      </x:c>
      <x:c r="G34" s="12" t="n">
        <x:v>1</x:v>
      </x:c>
      <x:c r="H34" s="8" t="n">
        <x:f>C34*G34</x:f>
        <x:v>1500</x:v>
      </x:c>
      <x:c r="I34" s="8" t="n">
        <x:f>D34*G34</x:f>
        <x:v>2300</x:v>
      </x:c>
      <x:c r="J34" s="8" t="n">
        <x:f>E34*G34</x:f>
        <x:v>1900</x:v>
      </x:c>
      <x:c r="K34" s="2" t="n">
        <x:f>VALUE(LEFT(F34,1))</x:f>
        <x:v>1</x:v>
      </x:c>
      <x:c r="L34" s="13" t="str">
        <x:v>两人使用，暂按常规16L天然气恒温款预算，优先米家合适型
号。</x:v>
      </x:c>
      <x:c r="M34" s="13" t="str">
        <x:v>这是预算方案而非已定型号；排烟和安装条件需安装方现场核对；不
默认使用高价双循环Pro款。</x:v>
      </x:c>
    </x:row>
    <x:row r="35" ht="92" customHeight="1">
      <x:c r="A35" s="2" t="str">
        <x:v>首批家电</x:v>
      </x:c>
      <x:c r="B35" s="2" t="str">
        <x:v>入住家电安装与辅材</x:v>
      </x:c>
      <x:c r="C35" s="11" t="n">
        <x:v>600</x:v>
      </x:c>
      <x:c r="D35" s="11" t="n">
        <x:v>1000</x:v>
      </x:c>
      <x:c r="E35" s="11" t="n">
        <x:v>800</x:v>
      </x:c>
      <x:c r="F35" s="12" t="str">
        <x:v>2 入住必需</x:v>
      </x:c>
      <x:c r="G35" s="12" t="n">
        <x:v>1</x:v>
      </x:c>
      <x:c r="H35" s="8" t="n">
        <x:f>C35*G35</x:f>
        <x:v>600</x:v>
      </x:c>
      <x:c r="I35" s="8" t="n">
        <x:f>D35*G35</x:f>
        <x:v>1000</x:v>
      </x:c>
      <x:c r="J35" s="8" t="n">
        <x:f>E35*G35</x:f>
        <x:v>800</x:v>
      </x:c>
      <x:c r="K35" s="2" t="n">
        <x:f>VALUE(LEFT(F35,1))</x:f>
        <x:v>2</x:v>
      </x:c>
      <x:c r="L35" s="13" t="str">
        <x:v>主卧空调、洗烘机等入住设备安装补差。后补设备采购时复
核。</x:v>
      </x:c>
      <x:c r="M35" s="13" t="str">
        <x:v>不是默认安装收费；逐台查免费项目与超出部分，已计入装修或设备
套餐的部分扣除。</x:v>
      </x:c>
    </x:row>
    <x:row r="36" ht="92" customHeight="1">
      <x:c r="A36" s="2" t="str">
        <x:v>首批家电</x:v>
      </x:c>
      <x:c r="B36" s="2" t="str">
        <x:v>烟灶热水器安装辅材</x:v>
      </x:c>
      <x:c r="C36" s="11" t="n">
        <x:v>400</x:v>
      </x:c>
      <x:c r="D36" s="11" t="n">
        <x:v>800</x:v>
      </x:c>
      <x:c r="E36" s="11" t="n">
        <x:v>600</x:v>
      </x:c>
      <x:c r="F36" s="12" t="str">
        <x:v>1 硬装施工</x:v>
      </x:c>
      <x:c r="G36" s="12" t="n">
        <x:v>1</x:v>
      </x:c>
      <x:c r="H36" s="8" t="n">
        <x:f>C36*G36</x:f>
        <x:v>400</x:v>
      </x:c>
      <x:c r="I36" s="8" t="n">
        <x:f>D36*G36</x:f>
        <x:v>800</x:v>
      </x:c>
      <x:c r="J36" s="8" t="n">
        <x:f>E36*G36</x:f>
        <x:v>600</x:v>
      </x:c>
      <x:c r="K36" s="2" t="n">
        <x:f>VALUE(LEFT(F36,1))</x:f>
        <x:v>1</x:v>
      </x:c>
      <x:c r="L36" s="13" t="str">
        <x:v>烟灶、热水器安装连接及可能辅材补差。</x:v>
      </x:c>
      <x:c r="M36" s="13" t="str">
        <x:v>已包含在设备或装修套餐中的部分扣除；需现场勘察。</x:v>
      </x:c>
    </x:row>
    <x:row r="37" ht="92" customHeight="1">
      <x:c r="A37" s="2" t="str">
        <x:v>首批家电</x:v>
      </x:c>
      <x:c r="B37" s="2" t="str">
        <x:v>补充基础小家电</x:v>
      </x:c>
      <x:c r="C37" s="11" t="n">
        <x:v>300</x:v>
      </x:c>
      <x:c r="D37" s="11" t="n">
        <x:v>600</x:v>
      </x:c>
      <x:c r="E37" s="11" t="n">
        <x:v>400</x:v>
      </x:c>
      <x:c r="F37" s="12" t="str">
        <x:v>2 入住必需</x:v>
      </x:c>
      <x:c r="G37" s="12" t="n">
        <x:v>1</x:v>
      </x:c>
      <x:c r="H37" s="8" t="n">
        <x:f>C37*G37</x:f>
        <x:v>300</x:v>
      </x:c>
      <x:c r="I37" s="8" t="n">
        <x:f>D37*G37</x:f>
        <x:v>600</x:v>
      </x:c>
      <x:c r="J37" s="8" t="n">
        <x:f>E37*G37</x:f>
        <x:v>400</x:v>
      </x:c>
      <x:c r="K37" s="2" t="n">
        <x:f>VALUE(LEFT(F37,1))</x:f>
        <x:v>2</x:v>
      </x:c>
      <x:c r="L37" s="13" t="str">
        <x:v>根据实际使用补烧水壶等，电饭锅、空气炸锅已有。</x:v>
      </x:c>
      <x:c r="M37" s="13" t="str">
        <x:v>此项为占位，可用现成用品时削减。</x:v>
      </x:c>
    </x:row>
    <x:row r="38" ht="92" customHeight="1">
      <x:c r="A38" s="2" t="str">
        <x:v>舒适后补</x:v>
      </x:c>
      <x:c r="B38" s="2" t="str">
        <x:v>客餐厅空调</x:v>
      </x:c>
      <x:c r="C38" s="11" t="n">
        <x:v>3000</x:v>
      </x:c>
      <x:c r="D38" s="11" t="n">
        <x:v>4500</x:v>
      </x:c>
      <x:c r="E38" s="11" t="n">
        <x:v>3500</x:v>
      </x:c>
      <x:c r="F38" s="12" t="str">
        <x:v>3 入住后补</x:v>
      </x:c>
      <x:c r="G38" s="12" t="n">
        <x:v>1</x:v>
      </x:c>
      <x:c r="H38" s="8" t="n">
        <x:f>C38*G38</x:f>
        <x:v>3000</x:v>
      </x:c>
      <x:c r="I38" s="8" t="n">
        <x:f>D38*G38</x:f>
        <x:v>4500</x:v>
      </x:c>
      <x:c r="J38" s="8" t="n">
        <x:f>E38*G38</x:f>
        <x:v>3500</x:v>
      </x:c>
      <x:c r="K38" s="2" t="n">
        <x:f>VALUE(LEFT(F38,1))</x:f>
        <x:v>3</x:v>
      </x:c>
      <x:c r="L38" s="13" t="str">
        <x:v>按2～3匹预算方向，客餐厅含两台电脑的散热；如冬夏入住
提前买。</x:v>
      </x:c>
      <x:c r="M38" s="13" t="str">
        <x:v>朝向、西晒、层高和使用热负荷需复核；挂机/柜机最后结合布局选
。安装补差总额统一核对。</x:v>
      </x:c>
    </x:row>
    <x:row r="39" ht="92" customHeight="1">
      <x:c r="A39" s="2" t="str">
        <x:v>舒适后补</x:v>
      </x:c>
      <x:c r="B39" s="2" t="str">
        <x:v>电视</x:v>
      </x:c>
      <x:c r="C39" s="11" t="n">
        <x:v>2000</x:v>
      </x:c>
      <x:c r="D39" s="11" t="n">
        <x:v>3500</x:v>
      </x:c>
      <x:c r="E39" s="11" t="n">
        <x:v>2600</x:v>
      </x:c>
      <x:c r="F39" s="12" t="str">
        <x:v>3 入住后补</x:v>
      </x:c>
      <x:c r="G39" s="12" t="n">
        <x:v>1</x:v>
      </x:c>
      <x:c r="H39" s="8" t="n">
        <x:f>C39*G39</x:f>
        <x:v>2000</x:v>
      </x:c>
      <x:c r="I39" s="8" t="n">
        <x:f>D39*G39</x:f>
        <x:v>3500</x:v>
      </x:c>
      <x:c r="J39" s="8" t="n">
        <x:f>E39*G39</x:f>
        <x:v>2600</x:v>
      </x:c>
      <x:c r="K39" s="2" t="n">
        <x:f>VALUE(LEFT(F39,1))</x:f>
        <x:v>3</x:v>
      </x:c>
      <x:c r="L39" s="13" t="str">
        <x:v>客厅电视长期需要，可晚买；预留未来Switch等游戏主机摆
放连接位置。</x:v>
      </x:c>
      <x:c r="M39" s="13" t="str">
        <x:v>先定观看位置与柜位，尺寸和游戏接口需求再选；本行不含游戏主机
采购。</x:v>
      </x:c>
    </x:row>
    <x:row r="40" ht="92" customHeight="1">
      <x:c r="A40" s="2" t="str">
        <x:v>舒适后补</x:v>
      </x:c>
      <x:c r="B40" s="2" t="str">
        <x:v>自动上下水扫拖机器人</x:v>
      </x:c>
      <x:c r="C40" s="11" t="n">
        <x:v>3000</x:v>
      </x:c>
      <x:c r="D40" s="11" t="n">
        <x:v>4500</x:v>
      </x:c>
      <x:c r="E40" s="11" t="n">
        <x:v>3500</x:v>
      </x:c>
      <x:c r="F40" s="12" t="str">
        <x:v>3 入住后补</x:v>
      </x:c>
      <x:c r="G40" s="12" t="n">
        <x:v>1</x:v>
      </x:c>
      <x:c r="H40" s="8" t="n">
        <x:f>C40*G40</x:f>
        <x:v>3000</x:v>
      </x:c>
      <x:c r="I40" s="8" t="n">
        <x:f>D40*G40</x:f>
        <x:v>4500</x:v>
      </x:c>
      <x:c r="J40" s="8" t="n">
        <x:f>E40*G40</x:f>
        <x:v>3500</x:v>
      </x:c>
      <x:c r="K40" s="2" t="n">
        <x:f>VALUE(LEFT(F40,1))</x:f>
        <x:v>3</x:v>
      </x:c>
      <x:c r="L40" s="13" t="str">
        <x:v>改为厨房南侧短柜开放仓，净宽56.4、深55、净高约79cm，
前方约153cm。优先核对能入柜的矮基站。</x:v>
      </x:c>
      <x:c r="M40" s="13" t="str">
        <x:v>必须先定兼容型号与厂家安装条件再下橱柜单。无底板、踢脚板或前
门；水电在旁柜可检修。3500元仅预算，未定型号。</x:v>
      </x:c>
    </x:row>
    <x:row r="41" ht="92" customHeight="1">
      <x:c r="A41" s="2" t="str">
        <x:v>后买低频</x:v>
      </x:c>
      <x:c r="B41" s="2" t="str">
        <x:v>洗碗机</x:v>
      </x:c>
      <x:c r="C41" s="11" t="n">
        <x:v>2500</x:v>
      </x:c>
      <x:c r="D41" s="11" t="n">
        <x:v>4000</x:v>
      </x:c>
      <x:c r="E41" s="11" t="n">
        <x:v>3000</x:v>
      </x:c>
      <x:c r="F41" s="12" t="str">
        <x:v>3 入住后补</x:v>
      </x:c>
      <x:c r="G41" s="12" t="n">
        <x:v>1</x:v>
      </x:c>
      <x:c r="H41" s="8" t="n">
        <x:f>C41*G41</x:f>
        <x:v>2500</x:v>
      </x:c>
      <x:c r="I41" s="8" t="n">
        <x:f>D41*G41</x:f>
        <x:v>4000</x:v>
      </x:c>
      <x:c r="J41" s="8" t="n">
        <x:f>E41*G41</x:f>
        <x:v>3000</x:v>
      </x:c>
      <x:c r="K41" s="2" t="n">
        <x:f>VALUE(LEFT(F41,1))</x:f>
        <x:v>3</x:v>
      </x:c>
      <x:c r="L41" s="13" t="str">
        <x:v>已明确后买；装修期先预留柜位、进排水、电源。</x:v>
      </x:c>
      <x:c r="M41" s="13" t="str">
        <x:v>宽深高、开门和水路以拟选型号为准；机器与橱柜范围分清。</x:v>
      </x:c>
    </x:row>
    <x:row r="42" ht="92" customHeight="1">
      <x:c r="A42" s="2" t="str">
        <x:v>后买低频</x:v>
      </x:c>
      <x:c r="B42" s="2" t="str">
        <x:v>次卧客床及床垫</x:v>
      </x:c>
      <x:c r="C42" s="11" t="n">
        <x:v>1000</x:v>
      </x:c>
      <x:c r="D42" s="11" t="n">
        <x:v>1800</x:v>
      </x:c>
      <x:c r="E42" s="11" t="n">
        <x:v>1400</x:v>
      </x:c>
      <x:c r="F42" s="12" t="str">
        <x:v>3 入住后补</x:v>
      </x:c>
      <x:c r="G42" s="12" t="n">
        <x:v>1</x:v>
      </x:c>
      <x:c r="H42" s="8" t="n">
        <x:f>C42*G42</x:f>
        <x:v>1000</x:v>
      </x:c>
      <x:c r="I42" s="8" t="n">
        <x:f>D42*G42</x:f>
        <x:v>1800</x:v>
      </x:c>
      <x:c r="J42" s="8" t="n">
        <x:f>E42*G42</x:f>
        <x:v>1400</x:v>
      </x:c>
      <x:c r="K42" s="2" t="n">
        <x:f>VALUE(LEFT(F42,1))</x:f>
        <x:v>3</x:v>
      </x:c>
      <x:c r="L42" s="13" t="str">
        <x:v>一年几次临时留宿；床形式待工位布局确定后选，可后买。</x:v>
      </x:c>
      <x:c r="M42" s="13" t="str">
        <x:v>单人尺寸与留宿人数未最终定，此为小客床预算；需要双人留宿时另
核对。</x:v>
      </x:c>
    </x:row>
    <x:row r="43" ht="92" customHeight="1">
      <x:c r="A43" s="2" t="str">
        <x:v>可选未计</x:v>
      </x:c>
      <x:c r="B43" s="2" t="str">
        <x:v>次卧空调</x:v>
      </x:c>
      <x:c r="C43" s="11" t="n">
        <x:v>1800</x:v>
      </x:c>
      <x:c r="D43" s="11" t="n">
        <x:v>2500</x:v>
      </x:c>
      <x:c r="E43" s="11" t="n">
        <x:v>2200</x:v>
      </x:c>
      <x:c r="F43" s="12" t="str">
        <x:v>3 入住后补</x:v>
      </x:c>
      <x:c r="G43" s="12" t="n">
        <x:v>0</x:v>
      </x:c>
      <x:c r="H43" s="8" t="n">
        <x:f>C43*G43</x:f>
        <x:v>0</x:v>
      </x:c>
      <x:c r="I43" s="8" t="n">
        <x:f>D43*G43</x:f>
        <x:v>0</x:v>
      </x:c>
      <x:c r="J43" s="8" t="n">
        <x:f>E43*G43</x:f>
        <x:v>0</x:v>
      </x:c>
      <x:c r="K43" s="2" t="n">
        <x:f>VALUE(LEFT(F43,1))</x:f>
        <x:v>3</x:v>
      </x:c>
      <x:c r="L43" s="13" t="str">
        <x:v>次卧低频客房，设备可后买，孔位与电源先规划。</x:v>
      </x:c>
      <x:c r="M43" s="13" t="str">
        <x:v>未列入当前必要合计；如需求确定，预算表的“纳入”改为1即可计
入。</x:v>
      </x:c>
    </x:row>
    <x:row r="44" ht="92" customHeight="1">
      <x:c r="A44" s="2" t="str">
        <x:v>可选未计</x:v>
      </x:c>
      <x:c r="B44" s="2" t="str">
        <x:v>厨下净水器</x:v>
      </x:c>
      <x:c r="C44" s="11" t="n">
        <x:v>1000</x:v>
      </x:c>
      <x:c r="D44" s="11" t="n">
        <x:v>1800</x:v>
      </x:c>
      <x:c r="E44" s="11" t="n">
        <x:v>1400</x:v>
      </x:c>
      <x:c r="F44" s="12" t="str">
        <x:v>3 入住后补</x:v>
      </x:c>
      <x:c r="G44" s="12" t="n">
        <x:v>0</x:v>
      </x:c>
      <x:c r="H44" s="8" t="n">
        <x:f>C44*G44</x:f>
        <x:v>0</x:v>
      </x:c>
      <x:c r="I44" s="8" t="n">
        <x:f>D44*G44</x:f>
        <x:v>0</x:v>
      </x:c>
      <x:c r="J44" s="8" t="n">
        <x:f>E44*G44</x:f>
        <x:v>0</x:v>
      </x:c>
      <x:c r="K44" s="2" t="n">
        <x:f>VALUE(LEFT(F44,1))</x:f>
        <x:v>3</x:v>
      </x:c>
      <x:c r="L44" s="13" t="str">
        <x:v>前文提到的备选家电，用户尚未明确需要。</x:v>
      </x:c>
      <x:c r="M44" s="13" t="str">
        <x:v>未计入合计；耗材费用另按型号核对。</x:v>
      </x:c>
    </x:row>
    <x:row r="45" ht="92" customHeight="1">
      <x:c r="A45" s="2" t="str">
        <x:v>可选未计</x:v>
      </x:c>
      <x:c r="B45" s="2" t="str">
        <x:v>智能门锁升级差价</x:v>
      </x:c>
      <x:c r="C45" s="11" t="n">
        <x:v>600</x:v>
      </x:c>
      <x:c r="D45" s="11" t="n">
        <x:v>1500</x:v>
      </x:c>
      <x:c r="E45" s="11" t="n">
        <x:v>1000</x:v>
      </x:c>
      <x:c r="F45" s="12" t="str">
        <x:v>3 入住后补</x:v>
      </x:c>
      <x:c r="G45" s="12" t="n">
        <x:v>0</x:v>
      </x:c>
      <x:c r="H45" s="8" t="n">
        <x:f>C45*G45</x:f>
        <x:v>0</x:v>
      </x:c>
      <x:c r="I45" s="8" t="n">
        <x:f>D45*G45</x:f>
        <x:v>0</x:v>
      </x:c>
      <x:c r="J45" s="8" t="n">
        <x:f>E45*G45</x:f>
        <x:v>0</x:v>
      </x:c>
      <x:c r="K45" s="2" t="n">
        <x:f>VALUE(LEFT(F45,1))</x:f>
        <x:v>3</x:v>
      </x:c>
      <x:c r="L45" s="13" t="str">
        <x:v>入户门已确定换新，门锁智能功能尚未确认。</x:v>
      </x:c>
      <x:c r="M45" s="13" t="str">
        <x:v>普通配套锁已在入户门项；本行仅估升级差价，避免两套锁重复计价
。</x:v>
      </x:c>
    </x:row>
    <x:row r="46" ht="92" customHeight="1">
      <x:c r="A46" s="2" t="str">
        <x:v>可选未计</x:v>
      </x:c>
      <x:c r="B46" s="2" t="str">
        <x:v>电动窗帘后续升级</x:v>
      </x:c>
      <x:c r="C46" s="11" t="n">
        <x:v>1200</x:v>
      </x:c>
      <x:c r="D46" s="11" t="n">
        <x:v>2500</x:v>
      </x:c>
      <x:c r="E46" s="11" t="n">
        <x:v>1800</x:v>
      </x:c>
      <x:c r="F46" s="12" t="str">
        <x:v>3 入住后补</x:v>
      </x:c>
      <x:c r="G46" s="12" t="n">
        <x:v>0</x:v>
      </x:c>
      <x:c r="H46" s="8" t="n">
        <x:f>C46*G46</x:f>
        <x:v>0</x:v>
      </x:c>
      <x:c r="I46" s="8" t="n">
        <x:f>D46*G46</x:f>
        <x:v>0</x:v>
      </x:c>
      <x:c r="J46" s="8" t="n">
        <x:f>E46*G46</x:f>
        <x:v>0</x:v>
      </x:c>
      <x:c r="K46" s="2" t="n">
        <x:f>VALUE(LEFT(F46,1))</x:f>
        <x:v>3</x:v>
      </x:c>
      <x:c r="L46" s="13" t="str">
        <x:v>已明确先手拉、电源预留；电机与兼容轨道可以以后再配。</x:v>
      </x:c>
      <x:c r="M46" s="13" t="str">
        <x:v>未计当前合计；按窗帘数量、轨道长度、型号及安装核对。</x:v>
      </x:c>
    </x:row>
    <x:row r="47" ht="92" customHeight="1">
      <x:c r="A47" s="2" t="str">
        <x:v>可选未计</x:v>
      </x:c>
      <x:c r="B47" s="2" t="str">
        <x:v>新增吊柜（扩充方案备选）</x:v>
      </x:c>
      <x:c r="C47" s="11" t="n">
        <x:v>4000</x:v>
      </x:c>
      <x:c r="D47" s="11" t="n">
        <x:v>8000</x:v>
      </x:c>
      <x:c r="E47" s="11" t="n">
        <x:v>5500</x:v>
      </x:c>
      <x:c r="F47" s="12" t="str">
        <x:v>1 硬装施工</x:v>
      </x:c>
      <x:c r="G47" s="12" t="n">
        <x:v>0</x:v>
      </x:c>
      <x:c r="H47" s="8" t="n">
        <x:f>C47*G47</x:f>
        <x:v>0</x:v>
      </x:c>
      <x:c r="I47" s="8" t="n">
        <x:f>D47*G47</x:f>
        <x:v>0</x:v>
      </x:c>
      <x:c r="J47" s="8" t="n">
        <x:f>E47*G47</x:f>
        <x:v>0</x:v>
      </x:c>
      <x:c r="K47" s="2" t="n">
        <x:f>VALUE(LEFT(F47,1))</x:f>
        <x:v>1</x:v>
      </x:c>
      <x:c r="L47" s="13" t="str">
        <x:v>两个工位、电视墙、主卧门洞、可复穿衣板、餐区、洗衣区
、冰箱上方共八处，约7.96延米；柜深25～40cm。</x:v>
      </x:c>
      <x:c r="M47" s="13" t="str">
        <x:v>初始不计入总额；底部1.75～2.25m随位置不同、顶2.65m另5cm封板
。现场核梁、墙体固定、轨道、设备散热和柜门。基础柜顶与厨房吊
柜不重复。</x:v>
      </x:c>
    </x:row>
    <x:row r="48" ht="92" customHeight="1">
      <x:c r="A48" s="2" t="str">
        <x:v>首批家具</x:v>
      </x:c>
      <x:c r="B48" s="2" t="str">
        <x:v>工位插排、走线槽与主机托架</x:v>
      </x:c>
      <x:c r="C48" s="11" t="n">
        <x:v>300</x:v>
      </x:c>
      <x:c r="D48" s="11" t="n">
        <x:v>800</x:v>
      </x:c>
      <x:c r="E48" s="11" t="n">
        <x:v>500</x:v>
      </x:c>
      <x:c r="F48" s="12" t="str">
        <x:v>2 入住必需</x:v>
      </x:c>
      <x:c r="G48" s="12" t="n">
        <x:v>1</x:v>
      </x:c>
      <x:c r="H48" s="8" t="n">
        <x:f>C48*G48</x:f>
        <x:v>300</x:v>
      </x:c>
      <x:c r="I48" s="8" t="n">
        <x:f>D48*G48</x:f>
        <x:v>800</x:v>
      </x:c>
      <x:c r="J48" s="8" t="n">
        <x:f>E48*G48</x:f>
        <x:v>500</x:v>
      </x:c>
      <x:c r="K48" s="2" t="n">
        <x:f>VALUE(LEFT(F48,1))</x:f>
        <x:v>2</x:v>
      </x:c>
      <x:c r="L48" s="13" t="str">
        <x:v>两个工位各一条插排、固定走线槽、主机离地托架，托架底
净空16cm。</x:v>
      </x:c>
      <x:c r="M48" s="13" t="str">
        <x:v>插排直插墙面不串联，总负荷按实物额定；托架承重按主机，线缆固
定离地。电脑硬件仍不计。</x:v>
      </x:c>
    </x:row>
    <x:row r="49" ht="92" customHeight="1">
      <x:c r="A49" s="2" t="str">
        <x:v>首批家具</x:v>
      </x:c>
      <x:c r="B49" s="2" t="str">
        <x:v>挂衣钩、可复穿衣板和脏衣篮</x:v>
      </x:c>
      <x:c r="C49" s="11" t="n">
        <x:v>300</x:v>
      </x:c>
      <x:c r="D49" s="11" t="n">
        <x:v>800</x:v>
      </x:c>
      <x:c r="E49" s="11" t="n">
        <x:v>500</x:v>
      </x:c>
      <x:c r="F49" s="12" t="str">
        <x:v>2 入住必需</x:v>
      </x:c>
      <x:c r="G49" s="12" t="n">
        <x:v>1</x:v>
      </x:c>
      <x:c r="H49" s="8" t="n">
        <x:f>C49*G49</x:f>
        <x:v>300</x:v>
      </x:c>
      <x:c r="I49" s="8" t="n">
        <x:f>D49*G49</x:f>
        <x:v>800</x:v>
      </x:c>
      <x:c r="J49" s="8" t="n">
        <x:f>E49*G49</x:f>
        <x:v>500</x:v>
      </x:c>
      <x:c r="K49" s="2" t="n">
        <x:f>VALUE(LEFT(F49,1))</x:f>
        <x:v>2</x:v>
      </x:c>
      <x:c r="L49" s="13" t="str">
        <x:v>入口外套挂钩、主卧45cm壁挂衣板及带盖可抽出脏衣篮。</x:v>
      </x:c>
      <x:c r="M49" s="13" t="str">
        <x:v>柜体已在基础收纳，此行只计配件、壁挂板和篮子；供应商套餐已含
时扣除。衣物不垂地，独立脏衣仓通风。</x:v>
      </x:c>
    </x:row>
    <x:row r="50" ht="92" customHeight="1">
      <x:c r="A50" s="2" t="str">
        <x:v>全包基础</x:v>
      </x:c>
      <x:c r="B50" s="2" t="str">
        <x:v>洗衣机侧围封板与台面</x:v>
      </x:c>
      <x:c r="C50" s="11" t="n">
        <x:v>500</x:v>
      </x:c>
      <x:c r="D50" s="11" t="n">
        <x:v>1200</x:v>
      </x:c>
      <x:c r="E50" s="11" t="n">
        <x:v>800</x:v>
      </x:c>
      <x:c r="F50" s="12" t="str">
        <x:v>1 硬装施工</x:v>
      </x:c>
      <x:c r="G50" s="12" t="n">
        <x:v>1</x:v>
      </x:c>
      <x:c r="H50" s="8" t="n">
        <x:f>C50*G50</x:f>
        <x:v>500</x:v>
      </x:c>
      <x:c r="I50" s="8" t="n">
        <x:f>D50*G50</x:f>
        <x:v>1200</x:v>
      </x:c>
      <x:c r="J50" s="8" t="n">
        <x:f>E50*G50</x:f>
        <x:v>800</x:v>
      </x:c>
      <x:c r="K50" s="2" t="n">
        <x:f>VALUE(LEFT(F50,1))</x:f>
        <x:v>1</x:v>
      </x:c>
      <x:c r="L50" s="13" t="str">
        <x:v>阳台70×109cm洗衣侧围与台面，可拆封板处理外侧窄缝。</x:v>
      </x:c>
      <x:c r="M50" s="13" t="str">
        <x:v>不堵设备自身通风口；抽机检修、进排水、振动及型号所需散热空隙
按说明书复核；洗衣吊柜另列可选。</x:v>
      </x:c>
    </x:row>
    <x:row r="51" ht="92" customHeight="1">
      <x:c r="A51" s="2" t="str">
        <x:v>首批家具</x:v>
      </x:c>
      <x:c r="B51" s="2" t="str">
        <x:v>悬空电视柜</x:v>
      </x:c>
      <x:c r="C51" s="11" t="n">
        <x:v>700</x:v>
      </x:c>
      <x:c r="D51" s="11" t="n">
        <x:v>1400</x:v>
      </x:c>
      <x:c r="E51" s="11" t="n">
        <x:v>900</x:v>
      </x:c>
      <x:c r="F51" s="12" t="str">
        <x:v>2 入住必需</x:v>
      </x:c>
      <x:c r="G51" s="12" t="n">
        <x:v>1</x:v>
      </x:c>
      <x:c r="H51" s="8" t="n">
        <x:f>C51*G51</x:f>
        <x:v>700</x:v>
      </x:c>
      <x:c r="I51" s="8" t="n">
        <x:f>D51*G51</x:f>
        <x:v>1400</x:v>
      </x:c>
      <x:c r="J51" s="8" t="n">
        <x:f>E51*G51</x:f>
        <x:v>900</x:v>
      </x:c>
      <x:c r="K51" s="2" t="n">
        <x:f>VALUE(LEFT(F51,1))</x:f>
        <x:v>2</x:v>
      </x:c>
      <x:c r="L51" s="13" t="str">
        <x:v>120×36cm，底部离地18cm，电视与游戏主机位置预留。</x:v>
      </x:c>
      <x:c r="M51" s="13" t="str">
        <x:v>本版补计此前遗漏的柜体900元。悬挂墙体固定条件需核对，不能悬
空时选封底落地款。</x:v>
      </x:c>
    </x:row>
    <x:row r="52" ht="2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</x:row>
    <x:row r="53" ht="2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</x:row>
  </x:sheetData>
  <x:dataValidations count="2">
    <x:dataValidation type="list" sqref="F6:F51">
      <x:formula1>"1 硬装施工,2 入住必需,3 入住后补"</x:formula1>
    </x:dataValidation>
    <x:dataValidation type="list" sqref="G6:G51">
      <x:formula1>"0,1"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5687cf531144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9" hidden="0" customWidth="1"/>
    <x:col min="3" max="3" width="19" hidden="0" customWidth="1"/>
    <x:col min="4" max="4" width="90" hidden="0" customWidth="1"/>
  </x:cols>
  <x:sheetData>
    <x:row r="1" ht="35" customHeight="1">
      <x:c r="A1" s="3" t="str">
        <x:v>施工与采购节奏</x:v>
      </x:c>
      <x:c r="B1" s="2"/>
      <x:c r="C1" s="2"/>
      <x:c r="D1" s="2"/>
    </x:row>
    <x:row r="2" ht="25" customHeight="1">
      <x:c r="A2" s="2"/>
      <x:c r="B2" s="2"/>
      <x:c r="C2" s="2"/>
      <x:c r="D2" s="2"/>
    </x:row>
    <x:row r="3" ht="25" customHeight="1">
      <x:c r="A3" s="2"/>
      <x:c r="B3" s="2"/>
      <x:c r="C3" s="2"/>
      <x:c r="D3" s="2"/>
    </x:row>
    <x:row r="4" ht="30" customHeight="1">
      <x:c r="A4" s="7" t="str">
        <x:v>阶段</x:v>
      </x:c>
      <x:c r="B4" s="7" t="str">
        <x:v>规划项目金额</x:v>
      </x:c>
      <x:c r="C4" s="7" t="str">
        <x:v>资金安排</x:v>
      </x:c>
      <x:c r="D4" s="7" t="str">
        <x:v>进场要求</x:v>
      </x:c>
    </x:row>
    <x:row r="5" ht="72" customHeight="1">
      <x:c r="A5" s="13" t="str">
        <x:v>1 硬装施工</x:v>
      </x:c>
      <x:c r="B5" s="24" t="n">
        <x:f>'预算总览'!D7</x:f>
        <x:v>89660</x:v>
      </x:c>
      <x:c r="C5" s="24" t="n">
        <x:f>'预算总览'!E7</x:f>
        <x:v>101260</x:v>
      </x:c>
      <x:c r="D5" s="13" t="str">
        <x:v>固定安装与预留接口完工验收。可选吊柜若做应此时施工。</x:v>
      </x:c>
    </x:row>
    <x:row r="6" ht="72" customHeight="1">
      <x:c r="A6" s="13" t="str">
        <x:v>2 入住必需</x:v>
      </x:c>
      <x:c r="B6" s="24" t="n">
        <x:f>'预算总览'!D8</x:f>
        <x:v>26340</x:v>
      </x:c>
      <x:c r="C6" s="24" t="n">
        <x:f>'预算总览'!E8</x:f>
        <x:v>26340</x:v>
      </x:c>
      <x:c r="D6" s="13" t="str">
        <x:v>硬装整改、设备调试后进场必要家具家电、窗帘与床品。</x:v>
      </x:c>
    </x:row>
    <x:row r="7" ht="72" customHeight="1">
      <x:c r="A7" s="13" t="str">
        <x:v>3 入住后补</x:v>
      </x:c>
      <x:c r="B7" s="24" t="n">
        <x:f>'预算总览'!D9</x:f>
        <x:v>14000</x:v>
      </x:c>
      <x:c r="C7" s="24" t="n">
        <x:f>'预算总览'!E9</x:f>
        <x:v>14000</x:v>
      </x:c>
      <x:c r="D7" s="13" t="str">
        <x:v>再补电视、机器人、洗碗机、客床和客厅空调；预留已做好。</x:v>
      </x:c>
    </x:row>
    <x:row r="8" ht="25" customHeight="1">
      <x:c r="A8" s="2"/>
      <x:c r="B8" s="2"/>
      <x:c r="C8" s="2"/>
      <x:c r="D8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1" hidden="0" customWidth="1"/>
    <x:col min="2" max="2" width="80" hidden="0" customWidth="1"/>
    <x:col min="3" max="3" width="14" hidden="0" customWidth="1"/>
    <x:col min="4" max="4" width="14" hidden="0" customWidth="1"/>
    <x:col min="5" max="5" width="17" hidden="0" customWidth="1"/>
    <x:col min="6" max="6" width="14" hidden="0" customWidth="1"/>
    <x:col min="7" max="7" width="17" hidden="0" customWidth="1"/>
    <x:col min="8" max="8" width="14" hidden="0" customWidth="1"/>
    <x:col min="9" max="9" width="17" hidden="0" customWidth="1"/>
  </x:cols>
  <x:sheetData>
    <x:row r="1" ht="35" customHeight="1">
      <x:c r="A1" s="3" t="str">
        <x:v>装修公司同口径报价</x:v>
      </x:c>
      <x:c r="B1" s="2"/>
      <x:c r="C1" s="2"/>
      <x:c r="D1" s="2"/>
      <x:c r="E1" s="2"/>
      <x:c r="F1" s="2"/>
      <x:c r="G1" s="2"/>
      <x:c r="H1" s="2"/>
      <x:c r="I1" s="2"/>
    </x:row>
    <x:row r="2" ht="25" customHeight="1">
      <x:c r="A2" s="2"/>
      <x:c r="B2" s="2"/>
      <x:c r="C2" s="2"/>
      <x:c r="D2" s="2"/>
      <x:c r="E2" s="2"/>
      <x:c r="F2" s="2"/>
      <x:c r="G2" s="2"/>
      <x:c r="H2" s="2"/>
      <x:c r="I2" s="2"/>
    </x:row>
    <x:row r="3" ht="25" customHeight="1">
      <x:c r="A3" s="2"/>
      <x:c r="B3" s="2"/>
      <x:c r="C3" s="2"/>
      <x:c r="D3" s="2"/>
      <x:c r="E3" s="2"/>
      <x:c r="F3" s="2"/>
      <x:c r="G3" s="2"/>
      <x:c r="H3" s="2"/>
      <x:c r="I3" s="2"/>
    </x:row>
    <x:row r="4" ht="30" customHeight="1">
      <x:c r="A4" s="7" t="str">
        <x:v>项目</x:v>
      </x:c>
      <x:c r="B4" s="7" t="str">
        <x:v>范围</x:v>
      </x:c>
      <x:c r="C4" s="7" t="str">
        <x:v>规划</x:v>
      </x:c>
      <x:c r="D4" s="7" t="str">
        <x:v>公司A</x:v>
      </x:c>
      <x:c r="E4" s="7" t="str">
        <x:v>A是否齐项</x:v>
      </x:c>
      <x:c r="F4" s="7" t="str">
        <x:v>公司B</x:v>
      </x:c>
      <x:c r="G4" s="7" t="str">
        <x:v>B是否齐项</x:v>
      </x:c>
      <x:c r="H4" s="7" t="str">
        <x:v>公司C</x:v>
      </x:c>
      <x:c r="I4" s="7" t="str">
        <x:v>C是否齐项</x:v>
      </x:c>
    </x:row>
    <x:row r="5" ht="75" customHeight="1">
      <x:c r="A5" s="13" t="str">
        <x:v>全拆旧与垃圾清运</x:v>
      </x:c>
      <x:c r="B5" s="13" t="str">
        <x:v>旧地面、厨卫墙砖、旧橱柜洁具、旧门套等；拆客厅后加隔间，其他布局保留。</x:v>
      </x:c>
      <x:c r="C5" s="24" t="n">
        <x:f>'预算明细'!E6</x:f>
        <x:v>7500</x:v>
      </x:c>
      <x:c r="D5" s="27"/>
      <x:c r="E5" s="24" t="str">
        <x:v>待核</x:v>
      </x:c>
      <x:c r="F5" s="27"/>
      <x:c r="G5" s="24" t="str">
        <x:v>待核</x:v>
      </x:c>
      <x:c r="H5" s="27"/>
      <x:c r="I5" s="13" t="str">
        <x:v>待核</x:v>
      </x:c>
    </x:row>
    <x:row r="6" ht="75" customHeight="1">
      <x:c r="A6" s="13" t="str">
        <x:v>水电重做及未来设备预留</x:v>
      </x:c>
      <x:c r="B6" s="13" t="str">
        <x:v>灯具线路、37个电源插座、7组开关、4组网口，窗边两工位；空调、窗帘、洗烘机
、洗碗机及机器人接口。 梳妆接口移次卧，机器人及洗碗机水电移厨房相邻检修柜
。</x:v>
      </x:c>
      <x:c r="C6" s="24" t="n">
        <x:f>'预算明细'!E7</x:f>
        <x:v>10500</x:v>
      </x:c>
      <x:c r="D6" s="27"/>
      <x:c r="E6" s="24" t="str">
        <x:v>待核</x:v>
      </x:c>
      <x:c r="F6" s="27"/>
      <x:c r="G6" s="24" t="str">
        <x:v>待核</x:v>
      </x:c>
      <x:c r="H6" s="27"/>
      <x:c r="I6" s="13" t="str">
        <x:v>待核</x:v>
      </x:c>
    </x:row>
    <x:row r="7" ht="75" customHeight="1">
      <x:c r="A7" s="13" t="str">
        <x:v>防水、找平及基层修复</x:v>
      </x:c>
      <x:c r="B7" s="13" t="str">
        <x:v>拆除后的墙地面修复、必要找平、厨卫需做的防水与施工检验。</x:v>
      </x:c>
      <x:c r="C7" s="24" t="n">
        <x:f>'预算明细'!E8</x:f>
        <x:v>6000</x:v>
      </x:c>
      <x:c r="D7" s="27"/>
      <x:c r="E7" s="24" t="str">
        <x:v>待核</x:v>
      </x:c>
      <x:c r="F7" s="27"/>
      <x:c r="G7" s="24" t="str">
        <x:v>待核</x:v>
      </x:c>
      <x:c r="H7" s="27"/>
      <x:c r="I7" s="13" t="str">
        <x:v>待核</x:v>
      </x:c>
    </x:row>
    <x:row r="8" ht="75" customHeight="1">
      <x:c r="A8" s="13" t="str">
        <x:v>瓷砖、铺贴及收口</x:v>
      </x:c>
      <x:c r="B8" s="13" t="str">
        <x:v>客厅与两卧均铺瓷砖；厨卫墙地砖、阳台地面按实测；含辅料、踢脚线及填缝收口
。</x:v>
      </x:c>
      <x:c r="C8" s="24" t="n">
        <x:f>'预算明细'!E9</x:f>
        <x:v>13000</x:v>
      </x:c>
      <x:c r="D8" s="27"/>
      <x:c r="E8" s="24" t="str">
        <x:v>待核</x:v>
      </x:c>
      <x:c r="F8" s="27"/>
      <x:c r="G8" s="24" t="str">
        <x:v>待核</x:v>
      </x:c>
      <x:c r="H8" s="27"/>
      <x:c r="I8" s="13" t="str">
        <x:v>待核</x:v>
      </x:c>
    </x:row>
    <x:row r="9" ht="75" customHeight="1">
      <x:c r="A9" s="13" t="str">
        <x:v>墙顶基层与乳胶漆</x:v>
      </x:c>
      <x:c r="B9" s="13" t="str">
        <x:v>简单墙顶面处理及乳胶漆，不做复杂背景墙。</x:v>
      </x:c>
      <x:c r="C9" s="24" t="n">
        <x:f>'预算明细'!E10</x:f>
        <x:v>6500</x:v>
      </x:c>
      <x:c r="D9" s="27"/>
      <x:c r="E9" s="24" t="str">
        <x:v>待核</x:v>
      </x:c>
      <x:c r="F9" s="27"/>
      <x:c r="G9" s="24" t="str">
        <x:v>待核</x:v>
      </x:c>
      <x:c r="H9" s="27"/>
      <x:c r="I9" s="13" t="str">
        <x:v>待核</x:v>
      </x:c>
    </x:row>
    <x:row r="10" ht="75" customHeight="1">
      <x:c r="A10" s="13" t="str">
        <x:v>厨卫吊顶及必要局部吊顶</x:v>
      </x:c>
      <x:c r="B10" s="13" t="str">
        <x:v>厨卫基础吊顶及必要遮管，整体从简。</x:v>
      </x:c>
      <x:c r="C10" s="24" t="n">
        <x:f>'预算明细'!E11</x:f>
        <x:v>2200</x:v>
      </x:c>
      <x:c r="D10" s="27"/>
      <x:c r="E10" s="24" t="str">
        <x:v>待核</x:v>
      </x:c>
      <x:c r="F10" s="27"/>
      <x:c r="G10" s="24" t="str">
        <x:v>待核</x:v>
      </x:c>
      <x:c r="H10" s="27"/>
      <x:c r="I10" s="13" t="str">
        <x:v>待核</x:v>
      </x:c>
    </x:row>
    <x:row r="11" ht="75" customHeight="1">
      <x:c r="A11" s="13" t="str">
        <x:v>室内门及门套</x:v>
      </x:c>
      <x:c r="B11" s="13" t="str">
        <x:v>两卧、卫生间及厨房需更换的门，暂按3～4樘估算。</x:v>
      </x:c>
      <x:c r="C11" s="24" t="n">
        <x:f>'预算明细'!E12</x:f>
        <x:v>4500</x:v>
      </x:c>
      <x:c r="D11" s="27"/>
      <x:c r="E11" s="24" t="str">
        <x:v>待核</x:v>
      </x:c>
      <x:c r="F11" s="27"/>
      <x:c r="G11" s="24" t="str">
        <x:v>待核</x:v>
      </x:c>
      <x:c r="H11" s="27"/>
      <x:c r="I11" s="13" t="str">
        <x:v>待核</x:v>
      </x:c>
    </x:row>
    <x:row r="12" ht="75" customHeight="1">
      <x:c r="A12" s="13" t="str">
        <x:v>橱柜、台面、水槽与龙头</x:v>
      </x:c>
      <x:c r="B12" s="13" t="str">
        <x:v>基础地柜吊柜、台面、水槽龙头。南短柜左侧留60cm洗碗机开放仓，右侧留56.4cm
机器人开放仓；其余地柜封底。</x:v>
      </x:c>
      <x:c r="C12" s="24" t="n">
        <x:f>'预算明细'!E13</x:f>
        <x:v>8000</x:v>
      </x:c>
      <x:c r="D12" s="27"/>
      <x:c r="E12" s="24" t="str">
        <x:v>待核</x:v>
      </x:c>
      <x:c r="F12" s="27"/>
      <x:c r="G12" s="24" t="str">
        <x:v>待核</x:v>
      </x:c>
      <x:c r="H12" s="27"/>
      <x:c r="I12" s="13" t="str">
        <x:v>待核</x:v>
      </x:c>
    </x:row>
    <x:row r="13" ht="75" customHeight="1">
      <x:c r="A13" s="13" t="str">
        <x:v>基础卫浴</x:v>
      </x:c>
      <x:c r="B13" s="13" t="str">
        <x:v>蹲便器及水箱、花洒、洗手盆/小浴室柜、地漏和基础配件；开放式淋浴。</x:v>
      </x:c>
      <x:c r="C13" s="24" t="n">
        <x:f>'预算明细'!E14</x:f>
        <x:v>3500</x:v>
      </x:c>
      <x:c r="D13" s="27"/>
      <x:c r="E13" s="24" t="str">
        <x:v>待核</x:v>
      </x:c>
      <x:c r="F13" s="27"/>
      <x:c r="G13" s="24" t="str">
        <x:v>待核</x:v>
      </x:c>
      <x:c r="H13" s="27"/>
      <x:c r="I13" s="13" t="str">
        <x:v>待核</x:v>
      </x:c>
    </x:row>
    <x:row r="14" ht="75" customHeight="1">
      <x:c r="A14" s="13" t="str">
        <x:v>主卧及基础收纳</x:v>
      </x:c>
      <x:c r="B14" s="13" t="str">
        <x:v>入口214×42cm组合柜（鞋柜120cm、外套60cm、杂物34cm）；主卧182×55cm（125cm
干净挂衣＋57cm独立脏衣仓）；次卧110×50cm柜，全部落地封底、顶部收口。</x:v>
      </x:c>
      <x:c r="C14" s="24" t="n">
        <x:f>'预算明细'!E15</x:f>
        <x:v>6500</x:v>
      </x:c>
      <x:c r="D14" s="27"/>
      <x:c r="E14" s="24" t="str">
        <x:v>待核</x:v>
      </x:c>
      <x:c r="F14" s="27"/>
      <x:c r="G14" s="24" t="str">
        <x:v>待核</x:v>
      </x:c>
      <x:c r="H14" s="27"/>
      <x:c r="I14" s="13" t="str">
        <x:v>待核</x:v>
      </x:c>
    </x:row>
    <x:row r="15" ht="75" customHeight="1">
      <x:c r="A15" s="13" t="str">
        <x:v>外窗全部换新</x:v>
      </x:c>
      <x:c r="B15" s="13" t="str">
        <x:v>现有外窗全部更换；面积及开启方式尚未实测。</x:v>
      </x:c>
      <x:c r="C15" s="24" t="n">
        <x:f>'预算明细'!E16</x:f>
        <x:v>9000</x:v>
      </x:c>
      <x:c r="D15" s="27"/>
      <x:c r="E15" s="24" t="str">
        <x:v>待核</x:v>
      </x:c>
      <x:c r="F15" s="27"/>
      <x:c r="G15" s="24" t="str">
        <x:v>待核</x:v>
      </x:c>
      <x:c r="H15" s="27"/>
      <x:c r="I15" s="13" t="str">
        <x:v>待核</x:v>
      </x:c>
    </x:row>
    <x:row r="16" ht="75" customHeight="1">
      <x:c r="A16" s="13" t="str">
        <x:v>入户门换新</x:v>
      </x:c>
      <x:c r="B16" s="13" t="str">
        <x:v>新入户门、常规配套锁具、拆旧安装与收口。</x:v>
      </x:c>
      <x:c r="C16" s="24" t="n">
        <x:f>'预算明细'!E17</x:f>
        <x:v>3000</x:v>
      </x:c>
      <x:c r="D16" s="27"/>
      <x:c r="E16" s="24" t="str">
        <x:v>待核</x:v>
      </x:c>
      <x:c r="F16" s="27"/>
      <x:c r="G16" s="24" t="str">
        <x:v>待核</x:v>
      </x:c>
      <x:c r="H16" s="27"/>
      <x:c r="I16" s="13" t="str">
        <x:v>待核</x:v>
      </x:c>
    </x:row>
    <x:row r="17" ht="75" customHeight="1">
      <x:c r="A17" s="13" t="str">
        <x:v>猫用窗户防护</x:v>
      </x:c>
      <x:c r="B17" s="13" t="str">
        <x:v>有猫，按可开启窗户配置可靠防护的预算占位。</x:v>
      </x:c>
      <x:c r="C17" s="24" t="n">
        <x:f>'预算明细'!E18</x:f>
        <x:v>1000</x:v>
      </x:c>
      <x:c r="D17" s="27"/>
      <x:c r="E17" s="24" t="str">
        <x:v>待核</x:v>
      </x:c>
      <x:c r="F17" s="27"/>
      <x:c r="G17" s="24" t="str">
        <x:v>待核</x:v>
      </x:c>
      <x:c r="H17" s="27"/>
      <x:c r="I17" s="13" t="str">
        <x:v>待核</x:v>
      </x:c>
    </x:row>
    <x:row r="18" ht="75" customHeight="1">
      <x:c r="A18" s="13" t="str">
        <x:v>固定灯具与普通开关插座面板</x:v>
      </x:c>
      <x:c r="B18" s="13" t="str">
        <x:v>14处固定灯具，37个电源插座、7组开关、4组网口面板。两盏工位台灯在入住阶段
另列。</x:v>
      </x:c>
      <x:c r="C18" s="24" t="n">
        <x:f>'预算明细'!E19</x:f>
        <x:v>2960</x:v>
      </x:c>
      <x:c r="D18" s="27"/>
      <x:c r="E18" s="24" t="str">
        <x:v>待核</x:v>
      </x:c>
      <x:c r="F18" s="27"/>
      <x:c r="G18" s="24" t="str">
        <x:v>待核</x:v>
      </x:c>
      <x:c r="H18" s="27"/>
      <x:c r="I18" s="13" t="str">
        <x:v>待核</x:v>
      </x:c>
    </x:row>
    <x:row r="19" ht="75" customHeight="1">
      <x:c r="A19" s="13" t="str">
        <x:v>天然气烟灶套装</x:v>
      </x:c>
      <x:c r="B19" s="13" t="str">
        <x:v>天然气已开通；优先米家常规烟机＋天然气灶。</x:v>
      </x:c>
      <x:c r="C19" s="24" t="n">
        <x:f>'预算明细'!E33</x:f>
        <x:v>2200</x:v>
      </x:c>
      <x:c r="D19" s="27"/>
      <x:c r="E19" s="24" t="str">
        <x:v>待核</x:v>
      </x:c>
      <x:c r="F19" s="27"/>
      <x:c r="G19" s="24" t="str">
        <x:v>待核</x:v>
      </x:c>
      <x:c r="H19" s="27"/>
      <x:c r="I19" s="13" t="str">
        <x:v>待核</x:v>
      </x:c>
    </x:row>
    <x:row r="20" ht="75" customHeight="1">
      <x:c r="A20" s="13" t="str">
        <x:v>燃气热水器</x:v>
      </x:c>
      <x:c r="B20" s="13" t="str">
        <x:v>两人使用，暂按常规16L天然气恒温款预算，优先米家合适型号。</x:v>
      </x:c>
      <x:c r="C20" s="24" t="n">
        <x:f>'预算明细'!E34</x:f>
        <x:v>1900</x:v>
      </x:c>
      <x:c r="D20" s="27"/>
      <x:c r="E20" s="24" t="str">
        <x:v>待核</x:v>
      </x:c>
      <x:c r="F20" s="27"/>
      <x:c r="G20" s="24" t="str">
        <x:v>待核</x:v>
      </x:c>
      <x:c r="H20" s="27"/>
      <x:c r="I20" s="13" t="str">
        <x:v>待核</x:v>
      </x:c>
    </x:row>
    <x:row r="21" ht="75" customHeight="1">
      <x:c r="A21" s="13" t="str">
        <x:v>烟灶热水器安装辅材</x:v>
      </x:c>
      <x:c r="B21" s="13" t="str">
        <x:v>烟灶、热水器安装连接及可能辅材补差。</x:v>
      </x:c>
      <x:c r="C21" s="24" t="n">
        <x:f>'预算明细'!E36</x:f>
        <x:v>600</x:v>
      </x:c>
      <x:c r="D21" s="27"/>
      <x:c r="E21" s="24" t="str">
        <x:v>待核</x:v>
      </x:c>
      <x:c r="F21" s="27"/>
      <x:c r="G21" s="24" t="str">
        <x:v>待核</x:v>
      </x:c>
      <x:c r="H21" s="27"/>
      <x:c r="I21" s="13" t="str">
        <x:v>待核</x:v>
      </x:c>
    </x:row>
    <x:row r="22" ht="75" customHeight="1">
      <x:c r="A22" s="13" t="str">
        <x:v>洗衣机侧围封板与台面</x:v>
      </x:c>
      <x:c r="B22" s="13" t="str">
        <x:v>阳台70×109cm洗衣侧围与台面，可拆封板处理外侧窄缝。</x:v>
      </x:c>
      <x:c r="C22" s="24" t="n">
        <x:f>'预算明细'!E50</x:f>
        <x:v>800</x:v>
      </x:c>
      <x:c r="D22" s="27"/>
      <x:c r="E22" s="24" t="str">
        <x:v>待核</x:v>
      </x:c>
      <x:c r="F22" s="27"/>
      <x:c r="G22" s="24" t="str">
        <x:v>待核</x:v>
      </x:c>
      <x:c r="H22" s="27"/>
      <x:c r="I22" s="13" t="str">
        <x:v>待核</x:v>
      </x:c>
    </x:row>
    <x:row r="23" ht="25" customHeight="1">
      <x:c r="A23" s="2" t="str">
        <x:v>额外服务费</x:v>
      </x:c>
      <x:c r="B23" s="2" t="str">
        <x:v>管理、设计、运输等先核是否已包含，未含再填。</x:v>
      </x:c>
      <x:c r="C23" s="8" t="n">
        <x:v>0</x:v>
      </x:c>
      <x:c r="D23" s="11"/>
      <x:c r="E23" s="8"/>
      <x:c r="F23" s="11"/>
      <x:c r="G23" s="8"/>
      <x:c r="H23" s="11"/>
      <x:c r="I23" s="2"/>
    </x:row>
    <x:row r="24">
      <x:c r="A24" t="str">
        <x:v>必需范围合计</x:v>
      </x:c>
      <x:c r="C24" s="28" t="n">
        <x:f>SUM(C5:C23)</x:f>
        <x:v>89660</x:v>
      </x:c>
      <x:c r="D24" s="28" t="n">
        <x:f>SUM(D5:D23)</x:f>
        <x:v>0</x:v>
      </x:c>
      <x:c r="E24" s="28"/>
      <x:c r="F24" s="28" t="n">
        <x:f>SUM(F5:F23)</x:f>
        <x:v>0</x:v>
      </x:c>
      <x:c r="G24" s="28"/>
      <x:c r="H24" s="28" t="n">
        <x:f>SUM(H5:H23)</x:f>
        <x:v>0</x:v>
      </x:c>
    </x:row>
    <x:row r="25">
      <x:c r="C25" s="28"/>
      <x:c r="D25" s="28"/>
      <x:c r="E25" s="28"/>
      <x:c r="F25" s="28"/>
      <x:c r="G25" s="28"/>
      <x:c r="H25" s="28"/>
    </x:row>
    <x:row r="26">
      <x:c r="A26" t="str">
        <x:v>八处扩充吊柜另报价</x:v>
      </x:c>
      <x:c r="B26" t="str">
        <x:v>可选，默认不计；基础柜顶和厨房标准吊柜已包含。</x:v>
      </x:c>
      <x:c r="C26" s="28" t="n">
        <x:v>5500</x:v>
      </x:c>
      <x:c r="D26" s="28"/>
      <x:c r="E26" s="28"/>
      <x:c r="F26" s="28"/>
      <x:c r="G26" s="28"/>
      <x:c r="H26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8" hidden="0" customWidth="1"/>
    <x:col min="2" max="2" width="87" hidden="0" customWidth="1"/>
    <x:col min="3" max="3" width="83" hidden="0" customWidth="1"/>
    <x:col min="4" max="4" width="70" hidden="0" customWidth="1"/>
  </x:cols>
  <x:sheetData>
    <x:row r="1" ht="35" customHeight="1">
      <x:c r="A1" s="3" t="str">
        <x:v>依据与现场实测</x:v>
      </x:c>
      <x:c r="B1" s="2"/>
      <x:c r="C1" s="2"/>
      <x:c r="D1" s="2"/>
    </x:row>
    <x:row r="2" ht="25" customHeight="1">
      <x:c r="A2" s="2"/>
      <x:c r="B2" s="2"/>
      <x:c r="C2" s="2"/>
      <x:c r="D2" s="2"/>
    </x:row>
    <x:row r="3" ht="25" customHeight="1">
      <x:c r="A3" s="2"/>
      <x:c r="B3" s="2"/>
      <x:c r="C3" s="2"/>
      <x:c r="D3" s="2"/>
    </x:row>
    <x:row r="4" ht="30" customHeight="1">
      <x:c r="A4" s="7" t="str">
        <x:v>事项</x:v>
      </x:c>
      <x:c r="B4" s="7" t="str">
        <x:v>依据</x:v>
      </x:c>
      <x:c r="C4" s="7" t="str">
        <x:v>待核内容</x:v>
      </x:c>
      <x:c r="D4" s="7" t="str">
        <x:v>来源</x:v>
      </x:c>
    </x:row>
    <x:row r="5" ht="85" customHeight="1">
      <x:c r="A5" s="13" t="str">
        <x:v>已标面积</x:v>
      </x:c>
      <x:c r="B5" s="13" t="str">
        <x:v>次卧8.03、主卧9.94、客餐厅25.6、厨房4.7、卫生间2.79、阳台3.34㎡，合计54.4㎡。约8
0㎡为用户给出的整房概况，不能直接等同施工净面积。</x:v>
      </x:c>
      <x:c r="C5" s="13" t="str">
        <x:v>图面资料，非实测</x:v>
      </x:c>
      <x:c r="D5" s="13" t="str">
        <x:v>https://github.com/Shengshenlan/zhuangxiu/blob/main/户型尺寸.jso
n</x:v>
      </x:c>
    </x:row>
    <x:row r="6" ht="85" customHeight="1">
      <x:c r="A6" s="13" t="str">
        <x:v>户型与净高</x:v>
      </x:c>
      <x:c r="B6" s="13" t="str">
        <x:v>主卧2.83×3.37m，次卧2.55×3.14m；厨房2.06×2.15m，阳台3.05×1.09m；净高约2.7m。</x:v>
      </x:c>
      <x:c r="C6" s="13" t="str">
        <x:v>尺寸图＋用户自述</x:v>
      </x:c>
      <x:c r="D6" s="13" t="str">
        <x:v>https://github.com/Shengshenlan/zhuangxiu/blob/main/用户提供/带
尺寸户型图.jpg</x:v>
      </x:c>
    </x:row>
    <x:row r="7" ht="85" customHeight="1">
      <x:c r="A7" s="13" t="str">
        <x:v>原始需求</x:v>
      </x:c>
      <x:c r="B7" s="13" t="str">
        <x:v>简装、顶柜挂衣杆帘子、猫活动、机器人上下水、主卧梳妆台；新问答更新了人数、工位、
洗烘一体与卫生间方式。</x:v>
      </x:c>
      <x:c r="C7" s="13" t="str">
        <x:v>本次问答优先</x:v>
      </x:c>
      <x:c r="D7" s="13" t="str">
        <x:v>https://github.com/Shengshenlan/zhuangxiu/blob/main/user_demand.
md</x:v>
      </x:c>
    </x:row>
    <x:row r="8" ht="85" customHeight="1">
      <x:c r="A8" s="13" t="str">
        <x:v>小米家电范围</x:v>
      </x:c>
      <x:c r="B8" s="13" t="str">
        <x:v>已核对小米官网的1.5匹空调与洗烘12kg产品；官网页面存在促销及导航标价变化，预算按
范围预留，不是当天到手价。</x:v>
      </x:c>
      <x:c r="C8" s="13" t="str">
        <x:v>2026-10-06检索</x:v>
      </x:c>
      <x:c r="D8" s="13" t="str">
        <x:v>https://www.mi.com/mijia-wash-dryers/clean-pro-10kg</x:v>
      </x:c>
    </x:row>
    <x:row r="9" ht="85" customHeight="1">
      <x:c r="A9" s="13" t="str">
        <x:v>洗烘一体机产品</x:v>
      </x:c>
      <x:c r="B9" s="13" t="str">
        <x:v>米家洗衣机 洗烘12kg，官方购买页用于确认产品类型；本表不以旧单洗款代替洗烘一体预
算。</x:v>
      </x:c>
      <x:c r="C9" s="13" t="str">
        <x:v>产品类型核验</x:v>
      </x:c>
      <x:c r="D9" s="13" t="str">
        <x:v>https://www.mi.com/shop/buy/detail?product_id=21556</x:v>
      </x:c>
    </x:row>
    <x:row r="10" ht="85" customHeight="1">
      <x:c r="A10" s="13" t="str">
        <x:v>卧室空调产品</x:v>
      </x:c>
      <x:c r="B10" s="13" t="str">
        <x:v>巨省电 1.5匹新一级能效 小米空调官方购买页；具体能效、型号、外机位置与安装费用下
单时再核对。</x:v>
      </x:c>
      <x:c r="C10" s="13" t="str">
        <x:v>产品方向核验</x:v>
      </x:c>
      <x:c r="D10" s="13" t="str">
        <x:v>https://www.mi.com/shop/buy/detail?product_id=13143</x:v>
      </x:c>
    </x:row>
    <x:row r="11" ht="85" customHeight="1">
      <x:c r="A11" s="13" t="str">
        <x:v>床架外尺寸例子</x:v>
      </x:c>
      <x:c r="B11" s="13" t="str">
        <x:v>宜家松耶桑德：床垫180×200cm，床架外尺寸193×207cm。此项是尺寸核对示例，不代表已选
此款。</x:v>
      </x:c>
      <x:c r="C11" s="13" t="str">
        <x:v>官方尺寸说明</x:v>
      </x:c>
      <x:c r="D11" s="13" t="str">
        <x:v>https://www.ikea.cn/cn/zh/p/songesand-bed-frame-white-60372511/</x:v>
      </x:c>
    </x:row>
    <x:row r="12" ht="85" customHeight="1">
      <x:c r="A12" s="13" t="str">
        <x:v>预算取值</x:v>
      </x:c>
      <x:c r="B12" s="13" t="str">
        <x:v>低/高位为普通档简装规划范围；当前预留为逐项规划值；首批机动10%，向上取整至100元
。费用没有套用未经核实的80㎡套餐单价。</x:v>
      </x:c>
      <x:c r="C12" s="13" t="str">
        <x:v>助手规划估算</x:v>
      </x:c>
      <x:c r="D12" s="13" t="str">
        <x:v>以现场工程量、品牌规格、统一范围全包报价替换；不是市场统一收费标
准。</x:v>
      </x:c>
    </x:row>
    <x:row r="13" ht="85" customHeight="1">
      <x:c r="A13" s="13" t="str">
        <x:v>全包服务计价</x:v>
      </x:c>
      <x:c r="B13" s="13" t="str">
        <x:v>施工管理、设计、成品保护及协调是否已在报价分项内需写清；若另收费，在报价对照单独
填入，不与已含项目重复。</x:v>
      </x:c>
      <x:c r="C13" s="13" t="str">
        <x:v>公司报价时确认</x:v>
      </x:c>
      <x:c r="D13" s="13" t="str">
        <x:v>预算范围按常规简装总体占位；额外收费会占用机动资金，超过时需调整
总额。</x:v>
      </x:c>
    </x:row>
    <x:row r="14" ht="85" customHeight="1">
      <x:c r="A14" s="13" t="str">
        <x:v>客餐厅工位布局</x:v>
      </x:c>
      <x:c r="B14" s="13" t="str">
        <x:v>两台台式机各一屏；桌子靠阳台两侧墙，中间约82cm通路以58cm椅子收近为前提。固定120×
70cm餐桌，机器人通路按45cm包络验算。</x:v>
      </x:c>
      <x:c r="C14" s="13" t="str">
        <x:v>2026-10-06第4版；待复尺</x:v>
      </x:c>
      <x:c r="D14" s="13" t="str">
        <x:v>屏幕侧对窗，窗帘控制反光；测实际椅子、窗帘、门洞、线缆和主机。</x:v>
      </x:c>
    </x:row>
    <x:row r="15" ht="85" customHeight="1">
      <x:c r="A15" s="13" t="str">
        <x:v>窗边工位采光</x:v>
      </x:c>
      <x:c r="B15" s="13" t="str">
        <x:v>屏幕与窗面尽量成直角，配窗帘调节反光；采用侧向来光的排布。</x:v>
      </x:c>
      <x:c r="C15" s="13" t="str">
        <x:v>官方工位环境建议</x:v>
      </x:c>
      <x:c r="D15" s="13" t="str">
        <x:v>https://www.osha.gov/etools/computer-workstations/workstation-en
vironment</x:v>
      </x:c>
    </x:row>
    <x:row r="16" ht="85" customHeight="1">
      <x:c r="A16" s="13" t="str">
        <x:v>新增顶柜固定</x:v>
      </x:c>
      <x:c r="B16" s="13" t="str">
        <x:v>八处扩充吊柜底1.75～2.25m，柜顶2.65m另5cm收口；基础柜落地封底，不能只依靠装饰吊
顶承重。</x:v>
      </x:c>
      <x:c r="C16" s="13" t="str">
        <x:v>板材与墙体待现场核对</x:v>
      </x:c>
      <x:c r="D16" s="13" t="str">
        <x:v>https://www.ikea.com.cy/files/Homepage/Howtobuyyourkitchen/ENHET
_installation_guide_cy_en.pdf</x:v>
      </x:c>
    </x:row>
    <x:row r="17" ht="85" customHeight="1">
      <x:c r="A17" s="13" t="str">
        <x:v>主卧布局</x:v>
      </x:c>
      <x:c r="B17" s="13" t="str">
        <x:v>1.8m宽、床长优先2.1m是助手建议；实测后用床架完整外尺寸排布，兼顾衣物区与梳妆台。</x:v>
      </x:c>
      <x:c r="C17" s="13" t="str">
        <x:v>待实测与试躺</x:v>
      </x:c>
      <x:c r="D17" s="13" t="str">
        <x:v>本版默认床头靠图面右侧墙，180×210cm床垫的窄边床架脚边约63cm；可
切回原朝向或比较200cm床长。</x:v>
      </x:c>
    </x:row>
    <x:row r="18" ht="85" customHeight="1">
      <x:c r="A18" s="13" t="str">
        <x:v>洗衣区与机器人</x:v>
      </x:c>
      <x:c r="B18" s="13" t="str">
        <x:v>本版洗烘机在阳台右端、基站在卫生间外墙；实际型号未定，需复核排水进水、电源、开门
与维修空间。</x:v>
      </x:c>
      <x:c r="C18" s="13" t="str">
        <x:v>待现场定位</x:v>
      </x:c>
      <x:c r="D18" s="13" t="str">
        <x:v>所有接口应先确定方案，设备允许后买。</x:v>
      </x:c>
    </x:row>
    <x:row r="19" ht="85" customHeight="1">
      <x:c r="A19" s="13" t="str">
        <x:v>机器人尺寸参照</x:v>
      </x:c>
      <x:c r="B19" s="13" t="str">
        <x:v>X20 Max官方机身Φ350×97mm仅作为尺寸参照；未定自动上下水型号。本版按38cm直径、14c
m高包络、45cm通路预留。</x:v>
      </x:c>
      <x:c r="C19" s="13" t="str">
        <x:v>官方尺寸＋助手留量假设</x:v>
      </x:c>
      <x:c r="D19" s="13" t="str">
        <x:v>https://www.mi.com/sg/product/xiaomi-robot-vacuum-x20-max/specs/</x:v>
      </x:c>
    </x:row>
    <x:row r="20" ht="85" customHeight="1">
      <x:c r="A20" s="13" t="str">
        <x:v>插排使用参照</x:v>
      </x:c>
      <x:c r="B20" s="13" t="str">
        <x:v>工位各一条固定插排、直插墙面，总功率按实物额定；不放在厨卫湿处，线缆离地收束。</x:v>
      </x:c>
      <x:c r="C20" s="13" t="str">
        <x:v>型号采购时核对</x:v>
      </x:c>
      <x:c r="D20" s="13" t="str">
        <x:v>https://www.mi.com/chaxianban2/specs</x:v>
      </x:c>
    </x:row>
    <x:row r="21" ht="85" customHeight="1">
      <x:c r="A21" s="13" t="str">
        <x:v>拆墙与旧基层</x:v>
      </x:c>
      <x:c r="B21" s="13" t="str">
        <x:v>客厅隔间恢复及全拆旧按需求列入；拆墙范围、结构条件、旧墙地面和管线状态由现场核对
。</x:v>
      </x:c>
      <x:c r="C21" s="13" t="str">
        <x:v>施工前/拆后确认</x:v>
      </x:c>
      <x:c r="D21" s="13" t="str">
        <x:v>据实际可施工范围调整工程量，不以图片推定隐藏结构。</x:v>
      </x:c>
    </x:row>
    <x:row r="22" ht="85" customHeight="1">
      <x:c r="A22" s="13" t="str">
        <x:v>门窗工程量</x:v>
      </x:c>
      <x:c r="B22" s="13" t="str">
        <x:v>量每樘窗、门洞及必要收口；窗户与猫防护套餐若已包含同一配件，相应预算扣除。</x:v>
      </x:c>
      <x:c r="C22" s="13" t="str">
        <x:v>待现场测量</x:v>
      </x:c>
      <x:c r="D22" s="13" t="str">
        <x:v>现有外窗全换，入户门换新；新增封阳台不与已有窗更换混为同一工程量
。</x:v>
      </x:c>
    </x:row>
    <x:row r="23" ht="85" customHeight="1">
      <x:c r="A23" s="13" t="str">
        <x:v>费用之外的现金</x:v>
      </x:c>
      <x:c r="B23" s="13" t="str">
        <x:v>可退装修押金、搬家运费、过渡居住开支、物业实际收费未获取，本表未计；金额确认后可
另加。</x:v>
      </x:c>
      <x:c r="C23" s="13" t="str">
        <x:v>尚无实际金额</x:v>
      </x:c>
      <x:c r="D23" s="13" t="str">
        <x:v>可退押金属于临时现金占用；不可退项目按具体收费填入。</x:v>
      </x:c>
    </x:row>
    <x:row r="24" ht="85" customHeight="1">
      <x:c r="A24" s="13" t="str">
        <x:v>机器人入柜安装示例</x:v>
      </x:c>
      <x:c r="B24" s="13" t="str">
        <x:v>DJI ROMO 2超薄基站柜内深≥55cm、前≥100cm等，为可行性示例，未选该型号。</x:v>
      </x:c>
      <x:c r="C24" s="13" t="str">
        <x:v>最终所选机器安装条件优先</x:v>
      </x:c>
      <x:c r="D24" s="13" t="str">
        <x:v>https://support.dji.com/help/content?customId=01700043581&amp;lang=z
h-CN&amp;paperDocType=ARTICLE&amp;re=CN&amp;spaceId=17</x:v>
      </x:c>
    </x:row>
    <x:row r="25" ht="85" customHeight="1">
      <x:c r="A25" s="13" t="str">
        <x:v>洗碗机安装示例</x:v>
      </x:c>
      <x:c r="B25" s="13" t="str">
        <x:v>米家15套S1手册示例开口600×770×575mm，电源放相邻柜。</x:v>
      </x:c>
      <x:c r="C25" s="13" t="str">
        <x:v>未定机型，安装尺寸不是所有产品通用</x:v>
      </x:c>
      <x:c r="D25" s="13" t="str">
        <x:v>https://cdn.cnbj1.fds.api.mi-img.com/ics-resources/articles/62af
d589a1a516d35d85481d.html</x:v>
      </x:c>
    </x:row>
    <x:row r="26" ht="25" customHeight="1">
      <x:c r="A26" s="2"/>
      <x:c r="B26" s="2"/>
      <x:c r="C26" s="2"/>
      <x:c r="D26" s="2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9" hidden="0" customWidth="1"/>
    <x:col min="2" max="2" width="30" hidden="0" customWidth="1"/>
    <x:col min="3" max="3" width="75" hidden="0" customWidth="1"/>
    <x:col min="4" max="4" width="95" hidden="0" customWidth="1"/>
    <x:col min="5" max="5" width="55" hidden="0" customWidth="1"/>
    <x:col min="6" max="6" width="42" hidden="0" customWidth="1"/>
  </x:cols>
  <x:sheetData>
    <x:row r="1" ht="35" customHeight="1">
      <x:c r="A1" s="3" t="str">
        <x:v>硬装前置决策</x:v>
      </x:c>
      <x:c r="B1" s="2"/>
      <x:c r="C1" s="2"/>
      <x:c r="D1" s="2"/>
      <x:c r="E1" s="2"/>
      <x:c r="F1" s="2"/>
    </x:row>
    <x:row r="2" ht="25" customHeight="1">
      <x:c r="A2" s="2"/>
      <x:c r="B2" s="2"/>
      <x:c r="C2" s="2"/>
      <x:c r="D2" s="2"/>
      <x:c r="E2" s="2"/>
      <x:c r="F2" s="2"/>
    </x:row>
    <x:row r="3" ht="25" customHeight="1">
      <x:c r="A3" s="2"/>
      <x:c r="B3" s="2"/>
      <x:c r="C3" s="2"/>
      <x:c r="D3" s="2"/>
      <x:c r="E3" s="2"/>
      <x:c r="F3" s="2"/>
    </x:row>
    <x:row r="4" ht="30" customHeight="1">
      <x:c r="A4" s="7" t="str">
        <x:v>事项</x:v>
      </x:c>
      <x:c r="B4" s="7" t="str">
        <x:v>最晚时点</x:v>
      </x:c>
      <x:c r="C4" s="7" t="str">
        <x:v>当前方案</x:v>
      </x:c>
      <x:c r="D4" s="7" t="str">
        <x:v>必须复核</x:v>
      </x:c>
      <x:c r="E4" s="7" t="str">
        <x:v>交付依据</x:v>
      </x:c>
      <x:c r="F4" s="7" t="str">
        <x:v>预算范围</x:v>
      </x:c>
    </x:row>
    <x:row r="5" ht="108" customHeight="1">
      <x:c r="A5" s="13" t="str">
        <x:v>拆旧、结构与完成面净尺</x:v>
      </x:c>
      <x:c r="B5" s="13" t="str">
        <x:v>报价和拆除前</x:v>
      </x:c>
      <x:c r="C5" s="13" t="str">
        <x:v>只拆客厅后加隔间，其他分隔保留。</x:v>
      </x:c>
      <x:c r="D5" s="13" t="str">
        <x:v>现场确认可拆范围、暗管、梁柱。按完工地面墙面测柜位、门窗和工程量，80㎡与图标54.4㎡不能
直接作铺贴量。</x:v>
      </x:c>
      <x:c r="E5" s="13" t="str">
        <x:v>拆旧图、测量表、保护搬运及清运范围</x:v>
      </x:c>
      <x:c r="F5" s="13" t="str">
        <x:v>拆旧7500、基层6000等</x:v>
      </x:c>
    </x:row>
    <x:row r="6" ht="108" customHeight="1">
      <x:c r="A6" s="13" t="str">
        <x:v>地面标高与机器人通路</x:v>
      </x:c>
      <x:c r="B6" s="13" t="str">
        <x:v>水电、找平前</x:v>
      </x:c>
      <x:c r="C6" s="13" t="str">
        <x:v>干区通路目标45cm，架空家具最低梁16cm。</x:v>
      </x:c>
      <x:c r="D6" s="13" t="str">
        <x:v>门完全打开、干区与阳台是否同高。湿区防水止水与机器人禁入分别落实，实际越障按最终机器。</x:v>
      </x:c>
      <x:c r="E6" s="13" t="str">
        <x:v>标高、门槛剖面和设备越障要求</x:v>
      </x:c>
      <x:c r="F6" s="13" t="str">
        <x:v>找平6000、铺砖13000</x:v>
      </x:c>
    </x:row>
    <x:row r="7" ht="108" customHeight="1">
      <x:c r="A7" s="13" t="str">
        <x:v>蹲便与开放淋浴</x:v>
      </x:c>
      <x:c r="B7" s="13" t="str">
        <x:v>改管、防水前</x:v>
      </x:c>
      <x:c r="C7" s="13" t="str">
        <x:v>蹲便器与洗手盆同属浴室，梳妆台在次卧。湿区人工清扫。</x:v>
      </x:c>
      <x:c r="D7" s="13" t="str">
        <x:v>核原排污口、存水弯、所选蹲便安装深度与楼板条件。必要局部抬高，不能随意切挖结构；定地漏
、坡向和挡水措施。</x:v>
      </x:c>
      <x:c r="E7" s="13" t="str">
        <x:v>设备安装剖面、防水闭水与排水试验记录</x:v>
      </x:c>
      <x:c r="F7" s="13" t="str">
        <x:v>卫浴3500、基层6000、水电10500</x:v>
      </x:c>
    </x:row>
    <x:row r="8" ht="108" customHeight="1">
      <x:c r="A8" s="13" t="str">
        <x:v>洗碗机柜位</x:v>
      </x:c>
      <x:c r="B8" s="13" t="str">
        <x:v>水电、橱柜下单前</x:v>
      </x:c>
      <x:c r="C8" s="13" t="str">
        <x:v>左仓净宽60cm、高约79cm，不设背板，深约60cm。</x:v>
      </x:c>
      <x:c r="D8" s="13" t="str">
        <x:v>先定候选机安装开口、深度、右侧排气与开门。插座角阀在旁柜，门打开时暂停机器人。</x:v>
      </x:c>
      <x:c r="E8" s="13" t="str">
        <x:v>选机安装图、柜位图、旁柜接口图</x:v>
      </x:c>
      <x:c r="F8" s="13" t="str">
        <x:v>柜体8000已含仓位，设备3000后补</x:v>
      </x:c>
    </x:row>
    <x:row r="9" ht="108" customHeight="1">
      <x:c r="A9" s="13" t="str">
        <x:v>厨房机器人开放仓</x:v>
      </x:c>
      <x:c r="B9" s="13" t="str">
        <x:v>水电、橱柜下单前</x:v>
      </x:c>
      <x:c r="C9" s="13" t="str">
        <x:v>右仓净56.4×55×79cm，前方约153cm，贴砖地面直入。</x:v>
      </x:c>
      <x:c r="D9" s="13" t="str">
        <x:v>必须选支持入柜的矮自动上下水基站。无底板、前门、踢脚板，管线不挤占背深；旁柜阀门插座、
漏水检查、抽机检修与进出均可达。</x:v>
      </x:c>
      <x:c r="E9" s="13" t="str">
        <x:v>厂家现场勘察、柜位和管线图，通水排水及回充试机</x:v>
      </x:c>
      <x:c r="F9" s="13" t="str">
        <x:v>柜体和水电已含预留，机器人3500后补</x:v>
      </x:c>
    </x:row>
    <x:row r="10" ht="108" customHeight="1">
      <x:c r="A10" s="13" t="str">
        <x:v>厨房台高与小电器</x:v>
      </x:c>
      <x:c r="B10" s="13" t="str">
        <x:v>橱柜、水电前</x:v>
      </x:c>
      <x:c r="C10" s="13" t="str">
        <x:v>台面85cm为初始占位；电饭锅与空气炸锅继续用。</x:v>
      </x:c>
      <x:c r="D10" s="13" t="str">
        <x:v>188cm与160cm两人试用确定台高。核切菜空间、锅盖开启、炸锅排气、窗把手和插座位置。</x:v>
      </x:c>
      <x:c r="E10" s="13" t="str">
        <x:v>台面高度、台面设备工作尺寸图</x:v>
      </x:c>
      <x:c r="F10" s="13" t="str">
        <x:v>橱柜8000</x:v>
      </x:c>
    </x:row>
    <x:row r="11" ht="108" customHeight="1">
      <x:c r="A11" s="13" t="str">
        <x:v>天然气、烟机与热水器</x:v>
      </x:c>
      <x:c r="B11" s="13" t="str">
        <x:v>水电、吊顶前</x:v>
      </x:c>
      <x:c r="C11" s="13" t="str">
        <x:v>烟灶与燃气热水器在硬装阶段安装。</x:v>
      </x:c>
      <x:c r="D11" s="13" t="str">
        <x:v>厂家现场核气源、阀门、烟道和排烟、热水管路、机型所需条件。安装免费范围与补差分清。</x:v>
      </x:c>
      <x:c r="E11" s="13" t="str">
        <x:v>燃气和设备安装确认单</x:v>
      </x:c>
      <x:c r="F11" s="13" t="str">
        <x:v>烟灶2200、热水器1900、辅材600</x:v>
      </x:c>
    </x:row>
    <x:row r="12" ht="108" customHeight="1">
      <x:c r="A12" s="13" t="str">
        <x:v>冰箱开门与散热</x:v>
      </x:c>
      <x:c r="B12" s="13" t="str">
        <x:v>橱柜下单前</x:v>
      </x:c>
      <x:c r="C12" s="13" t="str">
        <x:v>机身68×65cm仅占位。</x:v>
      </x:c>
      <x:c r="D12" s="13" t="str">
        <x:v>按具体机型核两侧背部散热、门铰链、抽屉全开、插座、冰箱上柜与搬入路线。</x:v>
      </x:c>
      <x:c r="E12" s="13" t="str">
        <x:v>机身与开门包络图</x:v>
      </x:c>
      <x:c r="F12" s="13" t="str">
        <x:v>冰箱2500，上柜可选</x:v>
      </x:c>
    </x:row>
    <x:row r="13" ht="108" customHeight="1">
      <x:c r="A13" s="13" t="str">
        <x:v>阳台洗烘机与侧围</x:v>
      </x:c>
      <x:c r="B13" s="13" t="str">
        <x:v>水电、台面前</x:v>
      </x:c>
      <x:c r="C13" s="13" t="str">
        <x:v>70×109cm侧围占位，台面高101cm，可拆检修。</x:v>
      </x:c>
      <x:c r="D13" s="13" t="str">
        <x:v>机身凸出和软管空间、向左门开、滤网、抽机维修、窗扇、散热与振动。不能封设备通风口。</x:v>
      </x:c>
      <x:c r="E13" s="13" t="str">
        <x:v>设备安装尺寸图、通水排水及脱水检查</x:v>
      </x:c>
      <x:c r="F13" s="13" t="str">
        <x:v>机器2500、侧围台面800</x:v>
      </x:c>
    </x:row>
    <x:row r="14" ht="108" customHeight="1">
      <x:c r="A14" s="13" t="str">
        <x:v>空调与冷凝排水</x:v>
      </x:c>
      <x:c r="B14" s="13" t="str">
        <x:v>水电、开孔和墙面前</x:v>
      </x:c>
      <x:c r="C14" s="13" t="str">
        <x:v>主卧入住安装，客厅后补，次卧可选。</x:v>
      </x:c>
      <x:c r="D14" s="13" t="str">
        <x:v>冷热负荷与型号现场核定。先定内外机、孔洞、电源、冷凝水路线及厂家间距，后买的孔位封好。</x:v>
      </x:c>
      <x:c r="E14" s="13" t="str">
        <x:v>安装勘察、孔洞和排水图</x:v>
      </x:c>
      <x:c r="F14" s="13" t="str">
        <x:v>主卧2200、客厅3500、次卧可选</x:v>
      </x:c>
    </x:row>
    <x:row r="15" ht="108" customHeight="1">
      <x:c r="A15" s="13" t="str">
        <x:v>电源回路与固定点位</x:v>
      </x:c>
      <x:c r="B15" s="13" t="str">
        <x:v>开槽、水电前</x:v>
      </x:c>
      <x:c r="C15" s="13" t="str">
        <x:v>37电源面板、7开关组；电脑插排固定离地。</x:v>
      </x:c>
      <x:c r="D15" s="13" t="str">
        <x:v>电工按设备真实功率定回路、保护、线径和接地。床头、次卧镜台、两工位、厨电位置先随成品外
尺寸校核；厨房大功率设备按安装要求接电。</x:v>
      </x:c>
      <x:c r="E15" s="13" t="str">
        <x:v>点位回路表、隐蔽照片、检测记录</x:v>
      </x:c>
      <x:c r="F15" s="13" t="str">
        <x:v>水电10500、灯具面板2960</x:v>
      </x:c>
    </x:row>
    <x:row r="16" ht="108" customHeight="1">
      <x:c r="A16" s="13" t="str">
        <x:v>网线、电视与未来游戏机</x:v>
      </x:c>
      <x:c r="B16" s="13" t="str">
        <x:v>弱电布线前</x:v>
      </x:c>
      <x:c r="C16" s="13" t="str">
        <x:v>两工位各2口，电视2口，入户4口。</x:v>
      </x:c>
      <x:c r="D16" s="13" t="str">
        <x:v>光纤入户路线、路由器供电和通风，网线与可换线管、电视HDMI走线、线缆标识及连接测试。</x:v>
      </x:c>
      <x:c r="E16" s="13" t="str">
        <x:v>弱电拓扑和端口表</x:v>
      </x:c>
      <x:c r="F16" s="13" t="str">
        <x:v>水电10500、网络智能1200</x:v>
      </x:c>
    </x:row>
    <x:row r="17" ht="108" customHeight="1">
      <x:c r="A17" s="13" t="str">
        <x:v>灯具与控制方式</x:v>
      </x:c>
      <x:c r="B17" s="13" t="str">
        <x:v>水电、吊顶前</x:v>
      </x:c>
      <x:c r="C17" s="13" t="str">
        <x:v>14处固定灯，2盏工位台灯。镜灯迁次卧。</x:v>
      </x:c>
      <x:c r="D17" s="13" t="str">
        <x:v>先定灯型、光照与眩光、开关双控、驱动检修、米家兼容型号。模型数量不等于完成照度设计。</x:v>
      </x:c>
      <x:c r="E17" s="13" t="str">
        <x:v>灯具型号、控制关系及点位图</x:v>
      </x:c>
      <x:c r="F17" s="13" t="str">
        <x:v>固定灯面板2960、台灯240</x:v>
      </x:c>
    </x:row>
    <x:row r="18" ht="108" customHeight="1">
      <x:c r="A18" s="13" t="str">
        <x:v>手拉窗帘与未来电机</x:v>
      </x:c>
      <x:c r="B18" s="13" t="str">
        <x:v>水电、窗帘轨道前</x:v>
      </x:c>
      <x:c r="C18" s="13" t="str">
        <x:v>先手拉，预留客厅和两卧电源。</x:v>
      </x:c>
      <x:c r="D18" s="13" t="str">
        <x:v>轨道和窗把手、床侧15cm、桌屏反光、窗帘盒取舍、电机侧与固定基层。后买电机轨道需兼容。</x:v>
      </x:c>
      <x:c r="E18" s="13" t="str">
        <x:v>轨道剖面和电源位置</x:v>
      </x:c>
      <x:c r="F18" s="13" t="str">
        <x:v>窗帘1600、电动升级可选</x:v>
      </x:c>
    </x:row>
    <x:row r="19" ht="108" customHeight="1">
      <x:c r="A19" s="13" t="str">
        <x:v>鞋柜与三类衣物</x:v>
      </x:c>
      <x:c r="B19" s="13" t="str">
        <x:v>柜体下单前</x:v>
      </x:c>
      <x:c r="C19" s="13" t="str">
        <x:v>入口214cm，主卧182cm，次卧110cm。干净125cm、脏衣57cm、复穿板45cm。</x:v>
      </x:c>
      <x:c r="D19" s="13" t="str">
        <x:v>盘点长衣、鞋和季节用品。确认干净挂衣量、脏衣篮抽出、通风和清洁，不挡入户和卧室门。</x:v>
      </x:c>
      <x:c r="E19" s="13" t="str">
        <x:v>内部格局、五金、衣物容量与门扫范围</x:v>
      </x:c>
      <x:c r="F19" s="13" t="str">
        <x:v>基础柜6500、挂钩篮板500</x:v>
      </x:c>
    </x:row>
    <x:row r="20" ht="108" customHeight="1">
      <x:c r="A20" s="13" t="str">
        <x:v>吊柜与悬挂家具固定</x:v>
      </x:c>
      <x:c r="B20" s="13" t="str">
        <x:v>墙面封闭、柜体下单前</x:v>
      </x:c>
      <x:c r="C20" s="13" t="str">
        <x:v>八处扩充吊柜约7.96延米可选5500。电视柜底18cm、镜台底66cm。</x:v>
      </x:c>
      <x:c r="D20" s="13" t="str">
        <x:v>吊柜若要做应硬装期确定，不等后期随意加。核墙体、梁、可靠固定、柜门与空调窗扇，不能只固
定在装饰吊顶；必要改封底落地。</x:v>
      </x:c>
      <x:c r="E20" s="13" t="str">
        <x:v>固定节点、柜门开启与设备检修图</x:v>
      </x:c>
      <x:c r="F20" s="13" t="str">
        <x:v>基础柜已含顶，扩充5500未纳入</x:v>
      </x:c>
    </x:row>
    <x:row r="21" ht="108" customHeight="1">
      <x:c r="A21" s="13" t="str">
        <x:v>床桌椅尺寸与搬运</x:v>
      </x:c>
      <x:c r="B21" s="13" t="str">
        <x:v>水电点位、采购前</x:v>
      </x:c>
      <x:c r="C21" s="13" t="str">
        <x:v>床垫180×210，床架184×218cm，脚边63cm。桌120×60，两单屏。</x:v>
      </x:c>
      <x:c r="D21" s="13" t="str">
        <x:v>按最低梁受压净空16cm、承重、完整床框核定。椅子使用后退、门洞、电梯和拆包搬运路线要测。</x:v>
      </x:c>
      <x:c r="E21" s="13" t="str">
        <x:v>家具外尺寸、承重与搬运记录</x:v>
      </x:c>
      <x:c r="F21" s="13" t="str">
        <x:v>床4500、桌1400、椅900</x:v>
      </x:c>
    </x:row>
    <x:row r="22" ht="108" customHeight="1">
      <x:c r="A22" s="13" t="str">
        <x:v>瓷砖、踢脚线与收口</x:v>
      </x:c>
      <x:c r="B22" s="13" t="str">
        <x:v>铺砖、门柜安装前</x:v>
      </x:c>
      <x:c r="C22" s="13" t="str">
        <x:v>客厅与卧室均瓷砖，厨房设备仓地面通铺。</x:v>
      </x:c>
      <x:c r="D22" s="13" t="str">
        <x:v>定规格、铺贴方向、地面平整、湿区坡向、踢脚与柜侧接缝、检修拆卸、补砖备料。不要为收口封
设备散热。</x:v>
      </x:c>
      <x:c r="E22" s="13" t="str">
        <x:v>排版、样板与收口节点</x:v>
      </x:c>
      <x:c r="F22" s="13" t="str">
        <x:v>瓷砖13000</x:v>
      </x:c>
    </x:row>
    <x:row r="23" ht="108" customHeight="1">
      <x:c r="A23" s="13" t="str">
        <x:v>门窗与猫防护</x:v>
      </x:c>
      <x:c r="B23" s="13" t="str">
        <x:v>订货、墙面施工前</x:v>
      </x:c>
      <x:c r="C23" s="13" t="str">
        <x:v>全部外窗和入户门换新。</x:v>
      </x:c>
      <x:c r="D23" s="13" t="str">
        <x:v>门净开口、门扇扫掠、窗扇把手、窗台和密封排水、防猫结构及清洁检修；后装智能锁机械兼容。</x:v>
      </x:c>
      <x:c r="E23" s="13" t="str">
        <x:v>门窗明细、安装节点、淋水及开合检查</x:v>
      </x:c>
      <x:c r="F23" s="13" t="str">
        <x:v>窗9000、入户门3000、防猫1000</x:v>
      </x:c>
    </x:row>
    <x:row r="24" ht="108" customHeight="1">
      <x:c r="A24" s="13" t="str">
        <x:v>其他未来设备接口</x:v>
      </x:c>
      <x:c r="B24" s="13" t="str">
        <x:v>水电、柜体下单前</x:v>
      </x:c>
      <x:c r="C24" s="13" t="str">
        <x:v>净水、智能锁和电动窗帘当前未纳入预算。</x:v>
      </x:c>
      <x:c r="D24" s="13" t="str">
        <x:v>按候选净水机核空间、电源、排水阀门；按智能系统选零线等接线。确认哪些预留在全包范围内。</x:v>
      </x:c>
      <x:c r="E24" s="13" t="str">
        <x:v>可选项目范围与预留表</x:v>
      </x:c>
      <x:c r="F24" s="13" t="str">
        <x:v>备选纳入开关默认0</x:v>
      </x:c>
    </x:row>
    <x:row r="25" ht="108" customHeight="1">
      <x:c r="A25" s="13" t="str">
        <x:v>硬装交付与软装进场</x:v>
      </x:c>
      <x:c r="B25" s="13" t="str">
        <x:v>阶段一验收后</x:v>
      </x:c>
      <x:c r="C25" s="13" t="str">
        <x:v>固定灯、厨卫、柜体、门窗与接口先验收，再搬家具。</x:v>
      </x:c>
      <x:c r="D25" s="13" t="str">
        <x:v>核水电、燃气设备、排水、防水、门柜、封缝等实测记录，整改和清洁完成后进场。材料与实际空
气条件核定，不按固定天数保证入住。</x:v>
      </x:c>
      <x:c r="E25" s="13" t="str">
        <x:v>竣工点位、隐蔽照片、验收、说明书和保修</x:v>
      </x:c>
      <x:c r="F25" s="13" t="str">
        <x:v>施工和安装对应项目，不另重复收费</x:v>
      </x:c>
    </x:row>
    <x:row r="26" ht="25" customHeight="1">
      <x:c r="A26" s="2"/>
      <x:c r="B26" s="2"/>
      <x:c r="C26" s="2"/>
      <x:c r="D26" s="2"/>
      <x:c r="E26" s="2"/>
      <x:c r="F26" s="2"/>
    </x:row>
  </x:sheetData>
  <x:pageMargins left="0.7" right="0.7" top="0.75" bottom="0.75" header="0.3" footer="0.3"/>
</x:worksheet>
</file>