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2e460da7c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总览" sheetId="1" r:id="Rb4256da363564678"/>
    <x:sheet xmlns:r="http://schemas.openxmlformats.org/officeDocument/2006/relationships" name="分类明细" sheetId="2" r:id="Ra724e1b2617f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;(&quot;¥&quot;#,##0);&quot;—&quot;"/>
    <x:numFmt numFmtId="201" formatCode="0&quot;项&quot;"/>
    <x:numFmt numFmtId="202" formatCode="0.0%"/>
    <x:numFmt numFmtId="203" formatCode="#,##0;(#,##0);&quot;—&quot;"/>
  </x:numFmts>
  <x:fonts count="11">
    <x:font>
      <x:sz val="11"/>
      <x:name val="Carlito"/>
    </x:font>
    <x:font>
      <x:sz val="10"/>
      <x:color rgb="FF172A39"/>
      <x:name val="Arial"/>
    </x:font>
    <x:font>
      <x:b/>
      <x:sz val="16"/>
      <x:color rgb="FF203B53"/>
      <x:name val="Arial"/>
    </x:font>
    <x:font>
      <x:i/>
      <x:sz val="10"/>
      <x:color rgb="FF667483"/>
      <x:name val="Arial"/>
    </x:font>
    <x:font>
      <x:b/>
      <x:sz val="10"/>
      <x:color rgb="FFFFFFFF"/>
      <x:name val="Arial"/>
    </x:font>
    <x:font>
      <x:b/>
      <x:sz val="13"/>
      <x:color rgb="FF203B53"/>
      <x:name val="Arial"/>
    </x:font>
    <x:font>
      <x:sz val="10"/>
      <x:color rgb="FF165AB7"/>
      <x:name val="Arial"/>
    </x:font>
    <x:font>
      <x:b/>
      <x:sz val="10"/>
      <x:color rgb="FF203B53"/>
      <x:name val="Arial"/>
    </x:font>
    <x:font>
      <x:sz val="10"/>
      <x:color rgb="FF9F5918"/>
      <x:name val="Arial"/>
    </x:font>
    <x:font>
      <x:sz val="10"/>
      <x:color rgb="FF667483"/>
      <x:name val="Arial"/>
    </x:font>
    <x:font>
      <x:b/>
      <x:sz val="14"/>
      <x:color rgb="FF203B5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E4EDF4"/>
      </x:patternFill>
    </x:fill>
    <x:fill>
      <x:patternFill patternType="solid">
        <x:fgColor rgb="FFFFF5D6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DCE4E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03B53"/>
      </x:top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/>
      <x:right/>
      <x:top style="thin">
        <x:color rgb="FF9BAFBE"/>
      </x:top>
      <x:bottom/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horizontal="center" vertical="center"/>
    </x:xf>
    <x:xf numFmtId="203" fontId="6" fillId="0" borderId="6" xfId="0" applyNumberFormat="1" applyFont="1" applyFill="1" applyBorder="1" applyAlignment="1">
      <x:alignment vertical="center"/>
    </x:xf>
    <x:xf numFmtId="203" fontId="6" fillId="4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horizontal="center" vertical="center"/>
    </x:xf>
    <x:xf numFmtId="203" fontId="6" fillId="6" borderId="6" xfId="0" applyNumberFormat="1" applyFont="1" applyFill="1" applyBorder="1" applyAlignment="1">
      <x:alignment vertical="center"/>
    </x:xf>
    <x:xf numFmtId="203" fontId="1" fillId="6" borderId="6" xfId="0" applyNumberFormat="1" applyFont="1" applyFill="1" applyBorder="1" applyAlignment="1">
      <x:alignment vertical="center"/>
    </x:xf>
    <x:xf numFmtId="0" fontId="9" fillId="6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horizontal="center" vertical="center"/>
    </x:xf>
    <x:xf numFmtId="203" fontId="6" fillId="7" borderId="6" xfId="0" applyNumberFormat="1" applyFont="1" applyFill="1" applyBorder="1" applyAlignment="1">
      <x:alignment vertical="center"/>
    </x:xf>
    <x:xf numFmtId="203" fontId="1" fillId="7" borderId="6" xfId="0" applyNumberFormat="1" applyFont="1" applyFill="1" applyBorder="1" applyAlignment="1">
      <x:alignment vertical="center"/>
    </x:xf>
    <x:xf numFmtId="0" fontId="9" fillId="7" borderId="6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/>
    </x:xf>
    <x:xf numFmtId="203" fontId="6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/>
    </x:xf>
    <x:xf numFmtId="200" fontId="7" fillId="5" borderId="4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F5918"/>
      </x:font>
      <x:fill>
        <x:patternFill patternType="solid">
          <x:bgColor rgb="FFFFF1DF"/>
        </x:patternFill>
      </x:fill>
    </x:dxf>
    <x:dxf>
      <x:font>
        <x:b/>
        <x:color rgb="FF9F5918"/>
      </x:font>
      <x:fill>
        <x:patternFill patternType="solid">
          <x:bgColor rgb="FFFFF1DF"/>
        </x:patternFill>
      </x:fill>
    </x:dxf>
    <x:dxf>
      <x:font>
        <x:b/>
        <x:color rgb="FF9B2626"/>
      </x:font>
      <x:fill>
        <x:patternFill patternType="solid">
          <x:bgColor rgb="FFFBE6E6"/>
        </x:patternFill>
      </x:fill>
    </x:dxf>
    <x:dxf>
      <x:font>
        <x:b/>
        <x:color rgb="FF9B2626"/>
      </x:font>
      <x:fill>
        <x:patternFill patternType="solid">
          <x:bgColor rgb="FFFBE6E6"/>
        </x:patternFill>
      </x:fill>
    </x:dxf>
    <x:dxf>
      <x:font>
        <x:color rgb="FFAF3D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92b26d9e8496a" /><Relationship Type="http://schemas.openxmlformats.org/officeDocument/2006/relationships/theme" Target="/xl/theme/theme1.xml" Id="R5e4a94d0a96d4b2c" /><Relationship Type="http://schemas.openxmlformats.org/officeDocument/2006/relationships/sharedStrings" Target="/xl/sharedStrings.xml" Id="Ra1b2ce9f219a404e" /><Relationship Type="http://schemas.openxmlformats.org/officeDocument/2006/relationships/worksheet" Target="/xl/worksheets/sheet1.xml" Id="Rb4256da363564678" /><Relationship Type="http://schemas.openxmlformats.org/officeDocument/2006/relationships/worksheet" Target="/xl/worksheets/sheet2.xml" Id="Ra724e1b2617f4c41" /></Relationships>
</file>

<file path=xl/tables/table1.xml><?xml version="1.0" encoding="utf-8"?>
<x:table xmlns:x="http://schemas.openxmlformats.org/spreadsheetml/2006/main" id="1" name="RenovationBudget" displayName="RenovationBudget" ref="A7:M59" headerRowCount="1" totalsRowCount="0" totalsRowShown="0">
  <x:autoFilter ref="A7:M59"/>
  <x:tableColumns count="13">
    <x:tableColumn id="1" name="编号"/>
    <x:tableColumn id="2" name="分类"/>
    <x:tableColumn id="3" name="项目"/>
    <x:tableColumn id="4" name="阶段"/>
    <x:tableColumn id="5" name="纳入"/>
    <x:tableColumn id="6" name="方案估算"/>
    <x:tableColumn id="7" name="实际报价"/>
    <x:tableColumn id="8" name="采用金额"/>
    <x:tableColumn id="9" name="累计已付"/>
    <x:tableColumn id="10" name="已报价待付"/>
    <x:tableColumn id="11" name="报价差额"/>
    <x:tableColumn id="12" name="核价／付款状态"/>
    <x:tableColumn id="13" name="范围与核价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836aad633946a2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7" hidden="0" customWidth="1"/>
    <x:col min="4" max="4" width="3" hidden="0" customWidth="1"/>
    <x:col min="5" max="5" width="26" hidden="0" customWidth="1"/>
    <x:col min="6" max="6" width="18" hidden="0" customWidth="1"/>
    <x:col min="7" max="7" width="3" hidden="0" customWidth="1"/>
    <x:col min="8" max="8" width="32" hidden="0" customWidth="1"/>
    <x:col min="9" max="9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3" t="str">
        <x:v>装修费用与付款</x:v>
      </x:c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5" t="str">
        <x:v>2026-10-08 方案基准，金额单位：元</x:v>
      </x:c>
      <x:c r="C3" s="5"/>
      <x:c r="D3" s="5"/>
      <x:c r="E3" s="5"/>
      <x:c r="F3" s="5"/>
      <x:c r="G3" s="5"/>
      <x:c r="H3" s="5"/>
      <x:c r="I3" s="5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2"/>
      <x:c r="B5" s="10" t="str">
        <x:v>当前费用</x:v>
      </x:c>
      <x:c r="C5" s="11" t="str">
        <x:v>金额</x:v>
      </x:c>
      <x:c r="D5" s="2"/>
      <x:c r="E5" s="10" t="str">
        <x:v>购买阶段</x:v>
      </x:c>
      <x:c r="F5" s="11" t="str">
        <x:v>采用金额</x:v>
      </x:c>
      <x:c r="G5" s="2"/>
      <x:c r="H5" s="10" t="str">
        <x:v>分类审价</x:v>
      </x:c>
      <x:c r="I5" s="11" t="str">
        <x:v>采用金额</x:v>
      </x:c>
    </x:row>
    <x:row r="6" ht="25" customHeight="1">
      <x:c r="A6" s="2"/>
      <x:c r="B6" s="2" t="str">
        <x:v>当前估算与报价小计</x:v>
      </x:c>
      <x:c r="C6" s="12" t="n">
        <x:f>SUM('分类明细'!H8:H59)</x:f>
        <x:v>136450</x:v>
      </x:c>
      <x:c r="D6" s="2"/>
      <x:c r="E6" s="2" t="str">
        <x:v>1 装修施工与预留</x:v>
      </x:c>
      <x:c r="F6" s="12" t="n">
        <x:f>SUMIFS('分类明细'!H8:H59,'分类明细'!D8:D59,1)</x:f>
        <x:v>96960</x:v>
      </x:c>
      <x:c r="G6" s="2"/>
      <x:c r="H6" s="2" t="str">
        <x:v>基础施工与管线</x:v>
      </x:c>
      <x:c r="I6" s="12" t="n">
        <x:f>SUMIFS('分类明细'!H8:H59,'分类明细'!B8:B59,H6)</x:f>
        <x:v>46600</x:v>
      </x:c>
    </x:row>
    <x:row r="7" ht="25" customHeight="1">
      <x:c r="A7" s="2"/>
      <x:c r="B7" s="2" t="str">
        <x:v>应急金（只计一次）</x:v>
      </x:c>
      <x:c r="C7" s="12" t="n">
        <x:f>ROUNDUP(SUM(F6:F7)*C14/C15,0)*C15</x:f>
        <x:v>12300</x:v>
      </x:c>
      <x:c r="D7" s="2"/>
      <x:c r="E7" s="2" t="str">
        <x:v>2 入住基本用品</x:v>
      </x:c>
      <x:c r="F7" s="12" t="n">
        <x:f>SUMIFS('分类明细'!H8:H59,'分类明细'!D8:D59,2)</x:f>
        <x:v>25490</x:v>
      </x:c>
      <x:c r="G7" s="2"/>
      <x:c r="H7" s="2" t="str">
        <x:v>门窗与防猫</x:v>
      </x:c>
      <x:c r="I7" s="12" t="n">
        <x:f>SUMIFS('分类明细'!H8:H59,'分类明细'!B8:B59,H7)</x:f>
        <x:v>17500</x:v>
      </x:c>
    </x:row>
    <x:row r="8" ht="32" customHeight="1">
      <x:c r="A8" s="2"/>
      <x:c r="B8" s="18" t="str">
        <x:v>当前已知总预算</x:v>
      </x:c>
      <x:c r="C8" s="19" t="n">
        <x:f>SUM(C6:C7)</x:f>
        <x:v>148750</x:v>
      </x:c>
      <x:c r="D8" s="2"/>
      <x:c r="E8" s="2" t="str">
        <x:v>3 后续补齐</x:v>
      </x:c>
      <x:c r="F8" s="12" t="n">
        <x:f>SUMIFS('分类明细'!H8:H59,'分类明细'!D8:D59,3)</x:f>
        <x:v>14000</x:v>
      </x:c>
      <x:c r="G8" s="2"/>
      <x:c r="H8" s="2" t="str">
        <x:v>固定柜体与卫浴</x:v>
      </x:c>
      <x:c r="I8" s="12" t="n">
        <x:f>SUMIFS('分类明细'!H8:H59,'分类明细'!B8:B59,H8)</x:f>
        <x:v>25200</x:v>
      </x:c>
    </x:row>
    <x:row r="9" ht="25" customHeight="1">
      <x:c r="A9" s="2"/>
      <x:c r="B9" s="2" t="str">
        <x:v>已登记付款</x:v>
      </x:c>
      <x:c r="C9" s="12" t="n">
        <x:f>SUM('分类明细'!I8:I59)</x:f>
        <x:v>0</x:v>
      </x:c>
      <x:c r="D9" s="2"/>
      <x:c r="E9" s="26" t="str">
        <x:v>入住前（1＋2＋应急）</x:v>
      </x:c>
      <x:c r="F9" s="27" t="n">
        <x:f>SUM(F6:F7)+C7</x:f>
        <x:v>134750</x:v>
      </x:c>
      <x:c r="G9" s="2"/>
      <x:c r="H9" s="2" t="str">
        <x:v>灯具面板窗帘</x:v>
      </x:c>
      <x:c r="I9" s="12" t="n">
        <x:f>SUMIFS('分类明细'!H8:H59,'分类明细'!B8:B59,H9)</x:f>
        <x:v>4800</x:v>
      </x:c>
    </x:row>
    <x:row r="10" ht="25" customHeight="1">
      <x:c r="A10" s="2"/>
      <x:c r="B10" s="2" t="str">
        <x:v>已报价待付款</x:v>
      </x:c>
      <x:c r="C10" s="12" t="n">
        <x:f>SUM('分类明细'!J8:J59)</x:f>
        <x:v>0</x:v>
      </x:c>
      <x:c r="D10" s="2"/>
      <x:c r="E10" s="2" t="str">
        <x:v>原方案估算合计</x:v>
      </x:c>
      <x:c r="F10" s="12" t="n">
        <x:f>SUMIFS('分类明细'!F8:F59,'分类明细'!E8:E59,1)</x:f>
        <x:v>136450</x:v>
      </x:c>
      <x:c r="G10" s="2"/>
      <x:c r="H10" s="2" t="str">
        <x:v>家具与生活用品</x:v>
      </x:c>
      <x:c r="I10" s="12" t="n">
        <x:f>SUMIFS('分类明细'!H8:H59,'分类明细'!B8:B59,H10)</x:f>
        <x:v>16300</x:v>
      </x:c>
    </x:row>
    <x:row r="11" ht="25" customHeight="1">
      <x:c r="A11" s="2"/>
      <x:c r="B11" s="2" t="str">
        <x:v>未补金额的已纳入项目</x:v>
      </x:c>
      <x:c r="C11" s="13" t="n">
        <x:f>COUNTIFS('分类明细'!L8:L59,"待定金额")</x:f>
        <x:v>3</x:v>
      </x:c>
      <x:c r="D11" s="2"/>
      <x:c r="E11" s="2" t="str">
        <x:v>报价带来的调整</x:v>
      </x:c>
      <x:c r="F11" s="12" t="n">
        <x:f>C6-F10</x:f>
        <x:v>0</x:v>
      </x:c>
      <x:c r="G11" s="2"/>
      <x:c r="H11" s="2" t="str">
        <x:v>家电与安装</x:v>
      </x:c>
      <x:c r="I11" s="12" t="n">
        <x:f>SUMIFS('分类明细'!H8:H59,'分类明细'!B8:B59,H11)</x:f>
        <x:v>25700</x:v>
      </x:c>
    </x:row>
    <x:row r="12" ht="25" customHeight="1">
      <x:c r="A12" s="2"/>
      <x:c r="B12" s="2"/>
      <x:c r="C12" s="2"/>
      <x:c r="D12" s="2"/>
      <x:c r="E12" s="2"/>
      <x:c r="F12" s="2"/>
      <x:c r="G12" s="2"/>
      <x:c r="H12" s="2" t="str">
        <x:v>音箱与网络</x:v>
      </x:c>
      <x:c r="I12" s="12" t="n">
        <x:f>SUMIFS('分类明细'!H8:H59,'分类明细'!B8:B59,H12)</x:f>
        <x:v>350</x:v>
      </x:c>
    </x:row>
    <x:row r="13" ht="30" customHeight="1">
      <x:c r="A13" s="2"/>
      <x:c r="B13" s="10" t="str">
        <x:v>应急金规则</x:v>
      </x:c>
      <x:c r="C13" s="11" t="str">
        <x:v>输入</x:v>
      </x:c>
      <x:c r="D13" s="2"/>
      <x:c r="E13" s="2"/>
      <x:c r="F13" s="2"/>
      <x:c r="G13" s="2"/>
      <x:c r="H13" s="2" t="str">
        <x:v>可选项目</x:v>
      </x:c>
      <x:c r="I13" s="12" t="n">
        <x:f>SUMIFS('分类明细'!H8:H59,'分类明细'!B8:B59,H13)</x:f>
        <x:v>0</x:v>
      </x:c>
    </x:row>
    <x:row r="14" ht="25" customHeight="1">
      <x:c r="A14" s="2"/>
      <x:c r="B14" s="2" t="str">
        <x:v>阶段1＋阶段2的比例</x:v>
      </x:c>
      <x:c r="C14" s="22" t="n">
        <x:v>0.1</x:v>
      </x:c>
      <x:c r="D14" s="2"/>
      <x:c r="E14" s="2"/>
      <x:c r="F14" s="2"/>
      <x:c r="G14" s="2"/>
      <x:c r="H14" s="2" t="str">
        <x:v>待定费用</x:v>
      </x:c>
      <x:c r="I14" s="12" t="str">
        <x:f>IF(COUNTIFS('分类明细'!L8:L59,"待定金额")&gt;0,"待补金额",SUMIFS('分类明细'!H8:H59,'分类明细'!B8:B59,H14))</x:f>
        <x:v>待补金额</x:v>
      </x:c>
    </x:row>
    <x:row r="15" ht="25" customHeight="1">
      <x:c r="A15" s="2"/>
      <x:c r="B15" s="2" t="str">
        <x:v>向上取整单位（元）</x:v>
      </x:c>
      <x:c r="C15" s="23" t="n">
        <x:v>100</x:v>
      </x:c>
      <x:c r="D15" s="2"/>
      <x:c r="E15" s="2"/>
      <x:c r="F15" s="2"/>
      <x:c r="G15" s="2"/>
      <x:c r="H15" s="2" t="str">
        <x:v>备选待定</x:v>
      </x:c>
      <x:c r="I15" s="12" t="str">
        <x:f>IF(SUMIFS('分类明细'!E8:E59,'分类明细'!B8:B59,H15)=0,"未纳入",SUMIFS('分类明细'!H8:H59,'分类明细'!B8:B59,H15))</x:f>
        <x:v>未纳入</x:v>
      </x:c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2"/>
      <x:c r="B18" s="28" t="str">
        <x:v>金额尚未覆盖的项目</x:v>
      </x:c>
      <x:c r="C18" s="28"/>
      <x:c r="D18" s="28"/>
      <x:c r="E18" s="28"/>
      <x:c r="F18" s="28"/>
      <x:c r="G18" s="28"/>
      <x:c r="H18" s="28"/>
      <x:c r="I18" s="28"/>
    </x:row>
    <x:row r="19" ht="25" customHeight="1">
      <x:c r="A19" s="2"/>
      <x:c r="B19" s="2" t="str">
        <x:v>P01 蒸烤一体机及安装</x:v>
      </x:c>
      <x:c r="C19" s="2"/>
      <x:c r="D19" s="2"/>
      <x:c r="E19" s="2" t="str">
        <x:v>P02 新增DIY管线差额</x:v>
      </x:c>
      <x:c r="F19" s="2"/>
      <x:c r="G19" s="2"/>
      <x:c r="H19" s="2" t="str">
        <x:v>P03 后期DIY控制与传感器</x:v>
      </x:c>
      <x:c r="I19" s="2"/>
    </x:row>
    <x:row r="20" ht="25" customHeight="1">
      <x:c r="A20" s="2"/>
      <x:c r="B20" s="29" t="str">
        <x:v>以上三项仍待定金额。补入“实际报价”后才进入预算。</x:v>
      </x:c>
      <x:c r="C20" s="29"/>
      <x:c r="D20" s="29"/>
      <x:c r="E20" s="29"/>
      <x:c r="F20" s="29"/>
      <x:c r="G20" s="29"/>
      <x:c r="H20" s="29"/>
      <x:c r="I20" s="29"/>
    </x:row>
    <x:row r="21" ht="25" customHeight="1">
      <x:c r="A21" s="2"/>
      <x:c r="B21" s="29" t="str">
        <x:v>P04 室内洗漱方案差额为备选，默认未纳入。</x:v>
      </x:c>
      <x:c r="C21" s="29"/>
      <x:c r="D21" s="29"/>
      <x:c r="E21" s="29"/>
      <x:c r="F21" s="29"/>
      <x:c r="G21" s="29"/>
      <x:c r="H21" s="29"/>
      <x:c r="I21" s="29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8" t="str">
        <x:v>怎样填写</x:v>
      </x:c>
      <x:c r="C23" s="28"/>
      <x:c r="D23" s="28"/>
      <x:c r="E23" s="28"/>
      <x:c r="F23" s="28"/>
      <x:c r="G23" s="28"/>
      <x:c r="H23" s="28"/>
      <x:c r="I23" s="28"/>
    </x:row>
    <x:row r="24" ht="25" customHeight="1">
      <x:c r="A24" s="2"/>
      <x:c r="B24" s="2" t="str">
        <x:v>在“分类明细”黄色单元格填写实际报价与累计已付；报价可以填0，留空表示尚未报价。</x:v>
      </x:c>
      <x:c r="C24" s="2"/>
      <x:c r="D24" s="2"/>
      <x:c r="E24" s="2"/>
      <x:c r="F24" s="2"/>
      <x:c r="G24" s="2"/>
      <x:c r="H24" s="2"/>
      <x:c r="I24" s="2"/>
    </x:row>
    <x:row r="25" ht="25" customHeight="1">
      <x:c r="A25" s="2"/>
      <x:c r="B25" s="2" t="str">
        <x:v>纳入：1计入预算，0暂不计入。采用金额优先使用实际报价，未报价时沿用方案估算。</x:v>
      </x:c>
      <x:c r="C25" s="2"/>
      <x:c r="D25" s="2"/>
      <x:c r="E25" s="2"/>
      <x:c r="F25" s="2"/>
      <x:c r="G25" s="2"/>
      <x:c r="H25" s="2"/>
      <x:c r="I25" s="2"/>
    </x:row>
    <x:row r="26" ht="25" customHeight="1">
      <x:c r="A26" s="2"/>
      <x:c r="B26" s="2" t="str">
        <x:v>已报价待付款只统计有报价且已纳入的项目。未登记付款按0计算，不表示已核实没有付款。</x:v>
      </x:c>
      <x:c r="C26" s="2"/>
      <x:c r="D26" s="2"/>
      <x:c r="E26" s="2"/>
      <x:c r="F26" s="2"/>
      <x:c r="G26" s="2"/>
      <x:c r="H26" s="2"/>
      <x:c r="I26" s="2"/>
    </x:row>
    <x:row r="27" ht="25" customHeight="1">
      <x:c r="A27" s="2"/>
      <x:c r="B27" s="2" t="str">
        <x:v>费用表独立保存。Excel里的后续报价与付款不会自动同步至HTML；阶段与点位说明看HTML。</x:v>
      </x:c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8" t="str">
        <x:v>本轮已确认</x:v>
      </x:c>
      <x:c r="C29" s="28"/>
      <x:c r="D29" s="28"/>
      <x:c r="E29" s="28"/>
      <x:c r="F29" s="28"/>
      <x:c r="G29" s="28"/>
      <x:c r="H29" s="28"/>
      <x:c r="I29" s="28"/>
    </x:row>
    <x:row r="30" ht="25" customHeight="1">
      <x:c r="A30" s="2"/>
      <x:c r="B30" s="2" t="str">
        <x:v>八处新增吊柜合计5,500元已纳入。两只门上设备柜900元单独计价，不重复。</x:v>
      </x:c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 t="str">
        <x:v>Wi-Fi设备复用，音箱按350元。智能开关、窗帘和温湿度DIY的零件费用仍需逐项核价。</x:v>
      </x:c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 t="str">
        <x:v>全部原项目均为方案估算。已知总预算不含待定金额、电脑硬件及游戏主机，不是装修公司最终报价。</x:v>
      </x:c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</x:row>
  </x:sheetData>
  <x:conditionalFormatting sqref="C11:C11">
    <x:cfRule type="cellIs" dxfId="0" priority="1" operator="greaterThan">
      <x:formula>0</x:formula>
    </x:cfRule>
  </x:conditionalFormatting>
  <x:dataValidations count="1">
    <x:dataValidation type="whole" errorStyle="stop" operator="between" showErrorMessage="1" errorTitle="取整单位必须大于0" error="请输入1至10000之间的整数（元）。" sqref="C15">
      <x:formula1>1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A9BE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8" hidden="0" customWidth="1"/>
    <x:col min="2" max="2" width="20" hidden="0" customWidth="1"/>
    <x:col min="3" max="3" width="33" hidden="0" customWidth="1"/>
    <x:col min="4" max="4" width="7" hidden="0" customWidth="1"/>
    <x:col min="5" max="5" width="7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22" hidden="0" customWidth="1"/>
    <x:col min="13" max="13" width="68" hidden="0" customWidth="1"/>
    <x:col min="14" max="14" width="3" hidden="0" customWidth="1"/>
    <x:col min="15" max="15" width="7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2"/>
      <x:c r="B2" s="2"/>
      <x:c r="C2" s="3" t="str">
        <x:v>逐项核价与付款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75" t="str">
        <x:v>价格依据与参考链接</x:v>
      </x:c>
    </x:row>
    <x:row r="3" ht="25" customHeight="1">
      <x:c r="A3" s="30"/>
      <x:c r="B3" s="30"/>
      <x:c r="C3" s="30" t="str">
        <x:v>金额填非负数，单位元。黄色可填。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2"/>
      <x:c r="O3" s="2" t="str">
        <x:v>原仓库方案估算及2026-10-08用户确认。实际报价均未取得。</x:v>
      </x:c>
    </x:row>
    <x:row r="4" ht="34" customHeight="1">
      <x:c r="A4" s="30"/>
      <x:c r="B4" s="30"/>
      <x:c r="C4" s="30" t="str">
        <x:v>阶段：1施工，2入住，3后补。</x:v>
      </x:c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2"/>
      <x:c r="O4" s="33" t="str">
        <x:v>https://github.com/Shengshenlan/zhuangxiu/tree/main/布局/threejs-v7-20261008</x:v>
      </x:c>
    </x:row>
    <x:row r="5" ht="25" customHeight="1">
      <x:c r="A5" s="30"/>
      <x:c r="B5" s="30"/>
      <x:c r="C5" s="30" t="str">
        <x:v>纳入：1计入，0不计。未报价留空。</x:v>
      </x:c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2"/>
      <x:c r="O5" s="2" t="str">
        <x:v>网上参考价格只用于比较，不替换估算，也不代表已选定采购。</x:v>
      </x:c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0" customHeight="1">
      <x:c r="A7" s="10" t="str">
        <x:v>编号</x:v>
      </x:c>
      <x:c r="B7" s="32" t="str">
        <x:v>分类</x:v>
      </x:c>
      <x:c r="C7" s="32" t="str">
        <x:v>项目</x:v>
      </x:c>
      <x:c r="D7" s="32" t="str">
        <x:v>阶段</x:v>
      </x:c>
      <x:c r="E7" s="32" t="str">
        <x:v>纳入</x:v>
      </x:c>
      <x:c r="F7" s="32" t="str">
        <x:v>方案估算</x:v>
      </x:c>
      <x:c r="G7" s="32" t="str">
        <x:v>实际报价</x:v>
      </x:c>
      <x:c r="H7" s="32" t="str">
        <x:v>采用金额</x:v>
      </x:c>
      <x:c r="I7" s="32" t="str">
        <x:v>累计已付</x:v>
      </x:c>
      <x:c r="J7" s="32" t="str">
        <x:v>已报价待付</x:v>
      </x:c>
      <x:c r="K7" s="32" t="str">
        <x:v>报价差额</x:v>
      </x:c>
      <x:c r="L7" s="32" t="str">
        <x:v>核价／付款状态</x:v>
      </x:c>
      <x:c r="M7" s="11" t="str">
        <x:v>范围与核价提示</x:v>
      </x:c>
      <x:c r="N7" s="2"/>
      <x:c r="O7" s="2"/>
    </x:row>
    <x:row r="8" ht="61" customHeight="1">
      <x:c r="A8" s="60" t="str">
        <x:v>B01</x:v>
      </x:c>
      <x:c r="B8" s="61" t="str">
        <x:v>基础施工与管线</x:v>
      </x:c>
      <x:c r="C8" s="62" t="str">
        <x:v>全拆旧与垃圾清运</x:v>
      </x:c>
      <x:c r="D8" s="41" t="n">
        <x:v>1</x:v>
      </x:c>
      <x:c r="E8" s="41" t="n">
        <x:v>1</x:v>
      </x:c>
      <x:c r="F8" s="64" t="n">
        <x:v>7500</x:v>
      </x:c>
      <x:c r="G8" s="43"/>
      <x:c r="H8" s="65" t="n">
        <x:f>IF(E8=0,0,IF(COUNT(G8)=0,IF(COUNT(F8)=0,"",F8),G8))</x:f>
        <x:v>7500</x:v>
      </x:c>
      <x:c r="I8" s="43"/>
      <x:c r="J8" s="65" t="str">
        <x:f>IF(OR(E8=0,COUNT(G8)=0),"",MAX(G8-I8,0))</x:f>
      </x:c>
      <x:c r="K8" s="65" t="str">
        <x:f>IF(OR(COUNT(G8)=0,COUNT(F8)=0),"",G8-F8)</x:f>
      </x:c>
      <x:c r="L8" s="60" t="str">
        <x:f>IF(E8=0,IF(I8&gt;0,"未纳入但已有付款","未纳入"),IF(COUNT(G8)=0,IF(COUNT(F8)=0,"待定金额","待询价"),IF(I8&gt;G8,"超付待核",IF(I8=G8,"已报价已付清",IF(I8&gt;0,"部分已付","已报价未登记付款")))))</x:f>
        <x:v>待询价</x:v>
      </x:c>
      <x:c r="M8" s="66" t="str">
        <x:v>列明拆除范围、装袋、下楼、外运及清运次数；电梯可用。原家具清走情况现场核对。</x:v>
      </x:c>
      <x:c r="N8" s="2"/>
      <x:c r="O8" s="2"/>
    </x:row>
    <x:row r="9" ht="61" customHeight="1">
      <x:c r="A9" s="54" t="str">
        <x:v>B02</x:v>
      </x:c>
      <x:c r="B9" s="55" t="str">
        <x:v>基础施工与管线</x:v>
      </x:c>
      <x:c r="C9" s="55" t="str">
        <x:v>水电重做及未来设备预留</x:v>
      </x:c>
      <x:c r="D9" s="38" t="n">
        <x:v>1</x:v>
      </x:c>
      <x:c r="E9" s="38" t="n">
        <x:v>1</x:v>
      </x:c>
      <x:c r="F9" s="57" t="n">
        <x:v>10500</x:v>
      </x:c>
      <x:c r="G9" s="23"/>
      <x:c r="H9" s="58" t="n">
        <x:f>IF(E9=0,0,IF(COUNT(G9)=0,IF(COUNT(F9)=0,"",F9),G9))</x:f>
        <x:v>10500</x:v>
      </x:c>
      <x:c r="I9" s="23"/>
      <x:c r="J9" s="58" t="str">
        <x:f>IF(OR(E9=0,COUNT(G9)=0),"",MAX(G9-I9,0))</x:f>
      </x:c>
      <x:c r="K9" s="58" t="str">
        <x:f>IF(OR(COUNT(G9)=0,COUNT(F9)=0),"",G9-F9)</x:f>
      </x:c>
      <x:c r="L9" s="54" t="str">
        <x:f>IF(E9=0,IF(I9&gt;0,"未纳入但已有付款","未纳入"),IF(COUNT(G9)=0,IF(COUNT(F9)=0,"待定金额","待询价"),IF(I9&gt;G9,"超付待核",IF(I9=G9,"已报价已付清",IF(I9&gt;0,"部分已付","已报价未登记付款")))))</x:f>
        <x:v>待询价</x:v>
      </x:c>
      <x:c r="M9" s="59" t="str">
        <x:v>39个电源面板、7组开关、5组网口共16端口。基础水电与B48接口增量需核实是否重计。新增DIY管线增量在P02待报价。</x:v>
      </x:c>
      <x:c r="N9" s="2"/>
      <x:c r="O9" s="2"/>
    </x:row>
    <x:row r="10" ht="61" customHeight="1">
      <x:c r="A10" s="67" t="str">
        <x:v>B03</x:v>
      </x:c>
      <x:c r="B10" s="68" t="str">
        <x:v>基础施工与管线</x:v>
      </x:c>
      <x:c r="C10" s="68" t="str">
        <x:v>防水、找平及基层修复</x:v>
      </x:c>
      <x:c r="D10" s="38" t="n">
        <x:v>1</x:v>
      </x:c>
      <x:c r="E10" s="38" t="n">
        <x:v>1</x:v>
      </x:c>
      <x:c r="F10" s="70" t="n">
        <x:v>6000</x:v>
      </x:c>
      <x:c r="G10" s="23"/>
      <x:c r="H10" s="71" t="n">
        <x:f>IF(E10=0,0,IF(COUNT(G10)=0,IF(COUNT(F10)=0,"",F10),G10))</x:f>
        <x:v>6000</x:v>
      </x:c>
      <x:c r="I10" s="23"/>
      <x:c r="J10" s="71" t="str">
        <x:f>IF(OR(E10=0,COUNT(G10)=0),"",MAX(G10-I10,0))</x:f>
      </x:c>
      <x:c r="K10" s="71" t="str">
        <x:f>IF(OR(COUNT(G10)=0,COUNT(F10)=0),"",G10-F10)</x:f>
      </x:c>
      <x:c r="L10" s="67" t="str">
        <x:f>IF(E10=0,IF(I10&gt;0,"未纳入但已有付款","未纳入"),IF(COUNT(G10)=0,IF(COUNT(F10)=0,"待定金额","待询价"),IF(I10&gt;G10,"超付待核",IF(I10=G10,"已报价已付清",IF(I10&gt;0,"部分已付","已报价未登记付款")))))</x:f>
        <x:v>待询价</x:v>
      </x:c>
      <x:c r="M10" s="72" t="str">
        <x:v>区分拆除、修复、防水和铺砖工序，避免同一找平工程重复计价；旧基层状态拆后复核。</x:v>
      </x:c>
      <x:c r="N10" s="2"/>
      <x:c r="O10" s="2"/>
    </x:row>
    <x:row r="11" ht="61" customHeight="1">
      <x:c r="A11" s="54" t="str">
        <x:v>B04</x:v>
      </x:c>
      <x:c r="B11" s="55" t="str">
        <x:v>基础施工与管线</x:v>
      </x:c>
      <x:c r="C11" s="55" t="str">
        <x:v>瓷砖、铺贴及收口</x:v>
      </x:c>
      <x:c r="D11" s="38" t="n">
        <x:v>1</x:v>
      </x:c>
      <x:c r="E11" s="38" t="n">
        <x:v>1</x:v>
      </x:c>
      <x:c r="F11" s="57" t="n">
        <x:v>13000</x:v>
      </x:c>
      <x:c r="G11" s="23"/>
      <x:c r="H11" s="58" t="n">
        <x:f>IF(E11=0,0,IF(COUNT(G11)=0,IF(COUNT(F11)=0,"",F11),G11))</x:f>
        <x:v>13000</x:v>
      </x:c>
      <x:c r="I11" s="23"/>
      <x:c r="J11" s="58" t="str">
        <x:f>IF(OR(E11=0,COUNT(G11)=0),"",MAX(G11-I11,0))</x:f>
      </x:c>
      <x:c r="K11" s="58" t="str">
        <x:f>IF(OR(COUNT(G11)=0,COUNT(F11)=0),"",G11-F11)</x:f>
      </x:c>
      <x:c r="L11" s="54" t="str">
        <x:f>IF(E11=0,IF(I11&gt;0,"未纳入但已有付款","未纳入"),IF(COUNT(G11)=0,IF(COUNT(F11)=0,"待定金额","待询价"),IF(I11&gt;G11,"超付待核",IF(I11=G11,"已报价已付清",IF(I11&gt;0,"部分已付","已报价未登记付款")))))</x:f>
        <x:v>待询价</x:v>
      </x:c>
      <x:c r="M11" s="59" t="str">
        <x:v>按净铺贴面积报价，列品牌型号、损耗、铺贴规格、辅料与收口；54.4㎡只是图上已标房间面积合计。</x:v>
      </x:c>
      <x:c r="N11" s="2"/>
      <x:c r="O11" s="2"/>
    </x:row>
    <x:row r="12" ht="61" customHeight="1">
      <x:c r="A12" s="67" t="str">
        <x:v>B05</x:v>
      </x:c>
      <x:c r="B12" s="68" t="str">
        <x:v>基础施工与管线</x:v>
      </x:c>
      <x:c r="C12" s="68" t="str">
        <x:v>墙顶基层与乳胶漆</x:v>
      </x:c>
      <x:c r="D12" s="38" t="n">
        <x:v>1</x:v>
      </x:c>
      <x:c r="E12" s="38" t="n">
        <x:v>1</x:v>
      </x:c>
      <x:c r="F12" s="70" t="n">
        <x:v>6500</x:v>
      </x:c>
      <x:c r="G12" s="23"/>
      <x:c r="H12" s="71" t="n">
        <x:f>IF(E12=0,0,IF(COUNT(G12)=0,IF(COUNT(F12)=0,"",F12),G12))</x:f>
        <x:v>6500</x:v>
      </x:c>
      <x:c r="I12" s="23"/>
      <x:c r="J12" s="71" t="str">
        <x:f>IF(OR(E12=0,COUNT(G12)=0),"",MAX(G12-I12,0))</x:f>
      </x:c>
      <x:c r="K12" s="71" t="str">
        <x:f>IF(OR(COUNT(G12)=0,COUNT(F12)=0),"",G12-F12)</x:f>
      </x:c>
      <x:c r="L12" s="67" t="str">
        <x:f>IF(E12=0,IF(I12&gt;0,"未纳入但已有付款","未纳入"),IF(COUNT(G12)=0,IF(COUNT(F12)=0,"待定金额","待询价"),IF(I12&gt;G12,"超付待核",IF(I12=G12,"已报价已付清",IF(I12&gt;0,"部分已付","已报价未登记付款")))))</x:f>
        <x:v>待询价</x:v>
      </x:c>
      <x:c r="M12" s="72" t="str">
        <x:v>列施工面积、基层处理方式、腻子及涂料型号；墙皮铲除若在拆旧中已计，不重复加。</x:v>
      </x:c>
      <x:c r="N12" s="2"/>
      <x:c r="O12" s="2"/>
    </x:row>
    <x:row r="13" ht="61" customHeight="1">
      <x:c r="A13" s="54" t="str">
        <x:v>B06</x:v>
      </x:c>
      <x:c r="B13" s="55" t="str">
        <x:v>基础施工与管线</x:v>
      </x:c>
      <x:c r="C13" s="55" t="str">
        <x:v>厨卫吊顶及必要局部吊顶</x:v>
      </x:c>
      <x:c r="D13" s="38" t="n">
        <x:v>1</x:v>
      </x:c>
      <x:c r="E13" s="38" t="n">
        <x:v>1</x:v>
      </x:c>
      <x:c r="F13" s="57" t="n">
        <x:v>2200</x:v>
      </x:c>
      <x:c r="G13" s="23"/>
      <x:c r="H13" s="58" t="n">
        <x:f>IF(E13=0,0,IF(COUNT(G13)=0,IF(COUNT(F13)=0,"",F13),G13))</x:f>
        <x:v>2200</x:v>
      </x:c>
      <x:c r="I13" s="23"/>
      <x:c r="J13" s="58" t="str">
        <x:f>IF(OR(E13=0,COUNT(G13)=0),"",MAX(G13-I13,0))</x:f>
      </x:c>
      <x:c r="K13" s="58" t="str">
        <x:f>IF(OR(COUNT(G13)=0,COUNT(F13)=0),"",G13-F13)</x:f>
      </x:c>
      <x:c r="L13" s="54" t="str">
        <x:f>IF(E13=0,IF(I13&gt;0,"未纳入但已有付款","未纳入"),IF(COUNT(G13)=0,IF(COUNT(F13)=0,"待定金额","待询价"),IF(I13&gt;G13,"超付待核",IF(I13=G13,"已报价已付清",IF(I13&gt;0,"部分已付","已报价未登记付款")))))</x:f>
        <x:v>待询价</x:v>
      </x:c>
      <x:c r="M13" s="59" t="str">
        <x:v>主卧顶柜另在收纳项；复杂客厅造型未列入。</x:v>
      </x:c>
      <x:c r="N13" s="2"/>
      <x:c r="O13" s="2"/>
    </x:row>
    <x:row r="14" ht="61" customHeight="1">
      <x:c r="A14" s="67" t="str">
        <x:v>B48</x:v>
      </x:c>
      <x:c r="B14" s="68" t="str">
        <x:v>基础施工与管线</x:v>
      </x:c>
      <x:c r="C14" s="68" t="str">
        <x:v>洗漱外置与设备柜接口增量</x:v>
      </x:c>
      <x:c r="D14" s="38" t="n">
        <x:v>1</x:v>
      </x:c>
      <x:c r="E14" s="38" t="n">
        <x:v>1</x:v>
      </x:c>
      <x:c r="F14" s="70" t="n">
        <x:v>900</x:v>
      </x:c>
      <x:c r="G14" s="23"/>
      <x:c r="H14" s="71" t="n">
        <x:f>IF(E14=0,0,IF(COUNT(G14)=0,IF(COUNT(F14)=0,"",F14),G14))</x:f>
        <x:v>900</x:v>
      </x:c>
      <x:c r="I14" s="23"/>
      <x:c r="J14" s="71" t="str">
        <x:f>IF(OR(E14=0,COUNT(G14)=0),"",MAX(G14-I14,0))</x:f>
      </x:c>
      <x:c r="K14" s="71" t="str">
        <x:f>IF(OR(COUNT(G14)=0,COUNT(F14)=0),"",G14-F14)</x:f>
      </x:c>
      <x:c r="L14" s="67" t="str">
        <x:f>IF(E14=0,IF(I14&gt;0,"未纳入但已有付款","未纳入"),IF(COUNT(G14)=0,IF(COUNT(F14)=0,"待定金额","待询价"),IF(I14&gt;G14,"超付待核",IF(I14=G14,"已报价已付清",IF(I14&gt;0,"部分已付","已报价未登记付款")))))</x:f>
        <x:v>待询价</x:v>
      </x:c>
      <x:c r="M14" s="72" t="str">
        <x:v>洗漱外置和两设备柜接口预留900元。若水电B02已包全，纳入改0；切换室内洗漱时重核范围及P04差额。</x:v>
      </x:c>
      <x:c r="N14" s="2"/>
      <x:c r="O14" s="2"/>
    </x:row>
    <x:row r="15" ht="61" customHeight="1">
      <x:c r="A15" s="47" t="str">
        <x:v>B07</x:v>
      </x:c>
      <x:c r="B15" s="48" t="str">
        <x:v>门窗与防猫</x:v>
      </x:c>
      <x:c r="C15" s="49" t="str">
        <x:v>室内门及门套</x:v>
      </x:c>
      <x:c r="D15" s="41" t="n">
        <x:v>1</x:v>
      </x:c>
      <x:c r="E15" s="41" t="n">
        <x:v>1</x:v>
      </x:c>
      <x:c r="F15" s="51" t="n">
        <x:v>4500</x:v>
      </x:c>
      <x:c r="G15" s="43"/>
      <x:c r="H15" s="52" t="n">
        <x:f>IF(E15=0,0,IF(COUNT(G15)=0,IF(COUNT(F15)=0,"",F15),G15))</x:f>
        <x:v>4500</x:v>
      </x:c>
      <x:c r="I15" s="43"/>
      <x:c r="J15" s="52" t="str">
        <x:f>IF(OR(E15=0,COUNT(G15)=0),"",MAX(G15-I15,0))</x:f>
      </x:c>
      <x:c r="K15" s="52" t="str">
        <x:f>IF(OR(COUNT(G15)=0,COUNT(F15)=0),"",G15-F15)</x:f>
      </x:c>
      <x:c r="L15" s="47" t="str">
        <x:f>IF(E15=0,IF(I15&gt;0,"未纳入但已有付款","未纳入"),IF(COUNT(G15)=0,IF(COUNT(F15)=0,"待定金额","待询价"),IF(I15&gt;G15,"超付待核",IF(I15=G15,"已报价已付清",IF(I15&gt;0,"部分已付","已报价未登记付款")))))</x:f>
        <x:v>待询价</x:v>
      </x:c>
      <x:c r="M15" s="53" t="str">
        <x:v>实测数量，列门扇门套、五金、门槛和安装；入户门另列。</x:v>
      </x:c>
      <x:c r="N15" s="2"/>
      <x:c r="O15" s="2"/>
    </x:row>
    <x:row r="16" ht="61" customHeight="1">
      <x:c r="A16" s="67" t="str">
        <x:v>B11</x:v>
      </x:c>
      <x:c r="B16" s="68" t="str">
        <x:v>门窗与防猫</x:v>
      </x:c>
      <x:c r="C16" s="68" t="str">
        <x:v>外窗全部换新</x:v>
      </x:c>
      <x:c r="D16" s="38" t="n">
        <x:v>1</x:v>
      </x:c>
      <x:c r="E16" s="38" t="n">
        <x:v>1</x:v>
      </x:c>
      <x:c r="F16" s="70" t="n">
        <x:v>9000</x:v>
      </x:c>
      <x:c r="G16" s="23"/>
      <x:c r="H16" s="71" t="n">
        <x:f>IF(E16=0,0,IF(COUNT(G16)=0,IF(COUNT(F16)=0,"",F16),G16))</x:f>
        <x:v>9000</x:v>
      </x:c>
      <x:c r="I16" s="23"/>
      <x:c r="J16" s="71" t="str">
        <x:f>IF(OR(E16=0,COUNT(G16)=0),"",MAX(G16-I16,0))</x:f>
      </x:c>
      <x:c r="K16" s="71" t="str">
        <x:f>IF(OR(COUNT(G16)=0,COUNT(F16)=0),"",G16-F16)</x:f>
      </x:c>
      <x:c r="L16" s="67" t="str">
        <x:f>IF(E16=0,IF(I16&gt;0,"未纳入但已有付款","未纳入"),IF(COUNT(G16)=0,IF(COUNT(F16)=0,"待定金额","待询价"),IF(I16&gt;G16,"超付待核",IF(I16=G16,"已报价已付清",IF(I16&gt;0,"部分已付","已报价未登记付款")))))</x:f>
        <x:v>待询价</x:v>
      </x:c>
      <x:c r="M16" s="72" t="str">
        <x:v>预算占位，按每樘窗尺寸、型材玻璃、拆旧安装、密封收口核算；新增封阳台工程范围需现场明确。</x:v>
      </x:c>
      <x:c r="N16" s="2"/>
      <x:c r="O16" s="2"/>
    </x:row>
    <x:row r="17" ht="61" customHeight="1">
      <x:c r="A17" s="54" t="str">
        <x:v>B12</x:v>
      </x:c>
      <x:c r="B17" s="55" t="str">
        <x:v>门窗与防猫</x:v>
      </x:c>
      <x:c r="C17" s="55" t="str">
        <x:v>入户门换新</x:v>
      </x:c>
      <x:c r="D17" s="38" t="n">
        <x:v>1</x:v>
      </x:c>
      <x:c r="E17" s="38" t="n">
        <x:v>1</x:v>
      </x:c>
      <x:c r="F17" s="57" t="n">
        <x:v>3000</x:v>
      </x:c>
      <x:c r="G17" s="23"/>
      <x:c r="H17" s="58" t="n">
        <x:f>IF(E17=0,0,IF(COUNT(G17)=0,IF(COUNT(F17)=0,"",F17),G17))</x:f>
        <x:v>3000</x:v>
      </x:c>
      <x:c r="I17" s="23"/>
      <x:c r="J17" s="58" t="str">
        <x:f>IF(OR(E17=0,COUNT(G17)=0),"",MAX(G17-I17,0))</x:f>
      </x:c>
      <x:c r="K17" s="58" t="str">
        <x:f>IF(OR(COUNT(G17)=0,COUNT(F17)=0),"",G17-F17)</x:f>
      </x:c>
      <x:c r="L17" s="54" t="str">
        <x:f>IF(E17=0,IF(I17&gt;0,"未纳入但已有付款","未纳入"),IF(COUNT(G17)=0,IF(COUNT(F17)=0,"待定金额","待询价"),IF(I17&gt;G17,"超付待核",IF(I17=G17,"已报价已付清",IF(I17&gt;0,"部分已付","已报价未登记付款")))))</x:f>
        <x:v>待询价</x:v>
      </x:c>
      <x:c r="M17" s="59" t="str">
        <x:v>此行按普通配套锁估算；智能锁是否升级未确认，另作可选差价。</x:v>
      </x:c>
      <x:c r="N17" s="2"/>
      <x:c r="O17" s="2"/>
    </x:row>
    <x:row r="18" ht="61" customHeight="1">
      <x:c r="A18" s="67" t="str">
        <x:v>B13</x:v>
      </x:c>
      <x:c r="B18" s="68" t="str">
        <x:v>门窗与防猫</x:v>
      </x:c>
      <x:c r="C18" s="68" t="str">
        <x:v>猫用窗户防护</x:v>
      </x:c>
      <x:c r="D18" s="38" t="n">
        <x:v>1</x:v>
      </x:c>
      <x:c r="E18" s="38" t="n">
        <x:v>1</x:v>
      </x:c>
      <x:c r="F18" s="70" t="n">
        <x:v>1000</x:v>
      </x:c>
      <x:c r="G18" s="23"/>
      <x:c r="H18" s="71" t="n">
        <x:f>IF(E18=0,0,IF(COUNT(G18)=0,IF(COUNT(F18)=0,"",F18),G18))</x:f>
        <x:v>1000</x:v>
      </x:c>
      <x:c r="I18" s="23"/>
      <x:c r="J18" s="71" t="str">
        <x:f>IF(OR(E18=0,COUNT(G18)=0),"",MAX(G18-I18,0))</x:f>
      </x:c>
      <x:c r="K18" s="71" t="str">
        <x:f>IF(OR(COUNT(G18)=0,COUNT(F18)=0),"",G18-F18)</x:f>
      </x:c>
      <x:c r="L18" s="67" t="str">
        <x:f>IF(E18=0,IF(I18&gt;0,"未纳入但已有付款","未纳入"),IF(COUNT(G18)=0,IF(COUNT(F18)=0,"待定金额","待询价"),IF(I18&gt;G18,"超付待核",IF(I18=G18,"已报价已付清",IF(I18&gt;0,"部分已付","已报价未登记付款")))))</x:f>
        <x:v>待询价</x:v>
      </x:c>
      <x:c r="M18" s="72" t="str">
        <x:v>核实防护结构、安装固定、开窗与检修方式；避免与窗户套餐中的纱窗重复算。</x:v>
      </x:c>
      <x:c r="N18" s="2"/>
      <x:c r="O18" s="2"/>
    </x:row>
    <x:row r="19" ht="61" customHeight="1">
      <x:c r="A19" s="47" t="str">
        <x:v>B08</x:v>
      </x:c>
      <x:c r="B19" s="48" t="str">
        <x:v>固定柜体与卫浴</x:v>
      </x:c>
      <x:c r="C19" s="49" t="str">
        <x:v>橱柜、台面、水槽与龙头</x:v>
      </x:c>
      <x:c r="D19" s="41" t="n">
        <x:v>1</x:v>
      </x:c>
      <x:c r="E19" s="41" t="n">
        <x:v>1</x:v>
      </x:c>
      <x:c r="F19" s="51" t="n">
        <x:v>8000</x:v>
      </x:c>
      <x:c r="G19" s="43"/>
      <x:c r="H19" s="52" t="n">
        <x:f>IF(E19=0,0,IF(COUNT(G19)=0,IF(COUNT(F19)=0,"",F19),G19))</x:f>
        <x:v>8000</x:v>
      </x:c>
      <x:c r="I19" s="43"/>
      <x:c r="J19" s="52" t="str">
        <x:f>IF(OR(E19=0,COUNT(G19)=0),"",MAX(G19-I19,0))</x:f>
      </x:c>
      <x:c r="K19" s="52" t="str">
        <x:f>IF(OR(COUNT(G19)=0,COUNT(F19)=0),"",G19-F19)</x:f>
      </x:c>
      <x:c r="L19" s="47" t="str">
        <x:f>IF(E19=0,IF(I19&gt;0,"未纳入但已有付款","未纳入"),IF(COUNT(G19)=0,IF(COUNT(F19)=0,"待定金额","待询价"),IF(I19&gt;G19,"超付待核",IF(I19=G19,"已报价已付清",IF(I19&gt;0,"部分已付","已报价未登记付款")))))</x:f>
        <x:v>待询价</x:v>
      </x:c>
      <x:c r="M19" s="53" t="str">
        <x:v>两开放仓计在柜体项，设备后买。洗碗机仓不设背板，柜位深度、开门、排气与旁柜接口按设备安装图核对。</x:v>
      </x:c>
      <x:c r="N19" s="2"/>
      <x:c r="O19" s="2"/>
    </x:row>
    <x:row r="20" ht="61" customHeight="1">
      <x:c r="A20" s="67" t="str">
        <x:v>B09</x:v>
      </x:c>
      <x:c r="B20" s="68" t="str">
        <x:v>固定柜体与卫浴</x:v>
      </x:c>
      <x:c r="C20" s="68" t="str">
        <x:v>基础卫浴</x:v>
      </x:c>
      <x:c r="D20" s="38" t="n">
        <x:v>1</x:v>
      </x:c>
      <x:c r="E20" s="38" t="n">
        <x:v>1</x:v>
      </x:c>
      <x:c r="F20" s="70" t="n">
        <x:v>3500</x:v>
      </x:c>
      <x:c r="G20" s="23"/>
      <x:c r="H20" s="71" t="n">
        <x:f>IF(E20=0,0,IF(COUNT(G20)=0,IF(COUNT(F20)=0,"",F20),G20))</x:f>
        <x:v>3500</x:v>
      </x:c>
      <x:c r="I20" s="23"/>
      <x:c r="J20" s="71" t="str">
        <x:f>IF(OR(E20=0,COUNT(G20)=0),"",MAX(G20-I20,0))</x:f>
      </x:c>
      <x:c r="K20" s="71" t="str">
        <x:f>IF(OR(COUNT(G20)=0,COUNT(F20)=0),"",G20-F20)</x:f>
      </x:c>
      <x:c r="L20" s="67" t="str">
        <x:f>IF(E20=0,IF(I20&gt;0,"未纳入但已有付款","未纳入"),IF(COUNT(G20)=0,IF(COUNT(F20)=0,"待定金额","待询价"),IF(I20&gt;G20,"超付待核",IF(I20=G20,"已报价已付清",IF(I20&gt;0,"部分已付","已报价未登记付款")))))</x:f>
        <x:v>待询价</x:v>
      </x:c>
      <x:c r="M20" s="72" t="str">
        <x:v>蹲便形式保留；便器设备按新购预留，旧件是否能复用现场核对。防水和管线在对应工种项。 卫浴3500元含洗漱柜盆镜一次；两方案互斥，不买两套。门外溅水区基层与排水另核。</x:v>
      </x:c>
      <x:c r="N20" s="2"/>
      <x:c r="O20" s="2"/>
    </x:row>
    <x:row r="21" ht="61" customHeight="1">
      <x:c r="A21" s="54" t="str">
        <x:v>B10</x:v>
      </x:c>
      <x:c r="B21" s="55" t="str">
        <x:v>固定柜体与卫浴</x:v>
      </x:c>
      <x:c r="C21" s="55" t="str">
        <x:v>主卧及基础收纳</x:v>
      </x:c>
      <x:c r="D21" s="38" t="n">
        <x:v>1</x:v>
      </x:c>
      <x:c r="E21" s="38" t="n">
        <x:v>1</x:v>
      </x:c>
      <x:c r="F21" s="57" t="n">
        <x:v>6500</x:v>
      </x:c>
      <x:c r="G21" s="23"/>
      <x:c r="H21" s="58" t="n">
        <x:f>IF(E21=0,0,IF(COUNT(G21)=0,IF(COUNT(F21)=0,"",F21),G21))</x:f>
        <x:v>6500</x:v>
      </x:c>
      <x:c r="I21" s="23"/>
      <x:c r="J21" s="58" t="str">
        <x:f>IF(OR(E21=0,COUNT(G21)=0),"",MAX(G21-I21,0))</x:f>
      </x:c>
      <x:c r="K21" s="58" t="str">
        <x:f>IF(OR(COUNT(G21)=0,COUNT(F21)=0),"",G21-F21)</x:f>
      </x:c>
      <x:c r="L21" s="54" t="str">
        <x:f>IF(E21=0,IF(I21&gt;0,"未纳入但已有付款","未纳入"),IF(COUNT(G21)=0,IF(COUNT(F21)=0,"待定金额","待询价"),IF(I21&gt;G21,"超付待核",IF(I21=G21,"已报价已付清",IF(I21&gt;0,"部分已付","已报价未登记付款")))))</x:f>
        <x:v>待询价</x:v>
      </x:c>
      <x:c r="M21" s="59" t="str">
        <x:v>入口214×42cm柜、主卧182×55cm柜、次卧110×50cm柜。含顶部收口。八处新增吊柜已另计B42，不在本行重复。</x:v>
      </x:c>
      <x:c r="N21" s="2"/>
      <x:c r="O21" s="2"/>
    </x:row>
    <x:row r="22" ht="61" customHeight="1">
      <x:c r="A22" s="67" t="str">
        <x:v>B42</x:v>
      </x:c>
      <x:c r="B22" s="68" t="str">
        <x:v>固定柜体与卫浴</x:v>
      </x:c>
      <x:c r="C22" s="68" t="str">
        <x:v>新增吊柜（八处已纳入）</x:v>
      </x:c>
      <x:c r="D22" s="38" t="n">
        <x:v>1</x:v>
      </x:c>
      <x:c r="E22" s="38" t="n">
        <x:v>1</x:v>
      </x:c>
      <x:c r="F22" s="70" t="n">
        <x:v>5500</x:v>
      </x:c>
      <x:c r="G22" s="23"/>
      <x:c r="H22" s="71" t="n">
        <x:f>IF(E22=0,0,IF(COUNT(G22)=0,IF(COUNT(F22)=0,"",F22),G22))</x:f>
        <x:v>5500</x:v>
      </x:c>
      <x:c r="I22" s="23"/>
      <x:c r="J22" s="71" t="str">
        <x:f>IF(OR(E22=0,COUNT(G22)=0),"",MAX(G22-I22,0))</x:f>
      </x:c>
      <x:c r="K22" s="71" t="str">
        <x:f>IF(OR(COUNT(G22)=0,COUNT(F22)=0),"",G22-F22)</x:f>
      </x:c>
      <x:c r="L22" s="67" t="str">
        <x:f>IF(E22=0,IF(I22&gt;0,"未纳入但已有付款","未纳入"),IF(COUNT(G22)=0,IF(COUNT(F22)=0,"待定金额","待询价"),IF(I22&gt;G22,"超付待核",IF(I22=G22,"已报价已付清",IF(I22&gt;0,"部分已付","已报价未登记付款")))))</x:f>
        <x:v>待询价</x:v>
      </x:c>
      <x:c r="M22" s="72" t="str">
        <x:v>八处全部纳入5500元：两工位1600、电视800、主卧门洞600、衣板300、餐区1000、洗衣700、冰箱500。与B47两个设备柜900元分列。</x:v>
      </x:c>
      <x:c r="N22" s="2"/>
      <x:c r="O22" s="2"/>
    </x:row>
    <x:row r="23" ht="61" customHeight="1">
      <x:c r="A23" s="54" t="str">
        <x:v>B45</x:v>
      </x:c>
      <x:c r="B23" s="55" t="str">
        <x:v>固定柜体与卫浴</x:v>
      </x:c>
      <x:c r="C23" s="55" t="str">
        <x:v>洗衣机侧围封板与台面</x:v>
      </x:c>
      <x:c r="D23" s="38" t="n">
        <x:v>1</x:v>
      </x:c>
      <x:c r="E23" s="38" t="n">
        <x:v>1</x:v>
      </x:c>
      <x:c r="F23" s="57" t="n">
        <x:v>800</x:v>
      </x:c>
      <x:c r="G23" s="23"/>
      <x:c r="H23" s="58" t="n">
        <x:f>IF(E23=0,0,IF(COUNT(G23)=0,IF(COUNT(F23)=0,"",F23),G23))</x:f>
        <x:v>800</x:v>
      </x:c>
      <x:c r="I23" s="23"/>
      <x:c r="J23" s="58" t="str">
        <x:f>IF(OR(E23=0,COUNT(G23)=0),"",MAX(G23-I23,0))</x:f>
      </x:c>
      <x:c r="K23" s="58" t="str">
        <x:f>IF(OR(COUNT(G23)=0,COUNT(F23)=0),"",G23-F23)</x:f>
      </x:c>
      <x:c r="L23" s="54" t="str">
        <x:f>IF(E23=0,IF(I23&gt;0,"未纳入但已有付款","未纳入"),IF(COUNT(G23)=0,IF(COUNT(F23)=0,"待定金额","待询价"),IF(I23&gt;G23,"超付待核",IF(I23=G23,"已报价已付清",IF(I23&gt;0,"部分已付","已报价未登记付款")))))</x:f>
        <x:v>待询价</x:v>
      </x:c>
      <x:c r="M23" s="59" t="str">
        <x:v>洗衣机侧围与台面800元。洗衣区上方吊柜已计入B42；封板可拆，不挡设备通风与检修。</x:v>
      </x:c>
      <x:c r="N23" s="2"/>
      <x:c r="O23" s="2"/>
    </x:row>
    <x:row r="24" ht="61" customHeight="1">
      <x:c r="A24" s="67" t="str">
        <x:v>B47</x:v>
      </x:c>
      <x:c r="B24" s="68" t="str">
        <x:v>固定柜体与卫浴</x:v>
      </x:c>
      <x:c r="C24" s="68" t="str">
        <x:v>卫生间门外双透气设备柜</x:v>
      </x:c>
      <x:c r="D24" s="38" t="n">
        <x:v>1</x:v>
      </x:c>
      <x:c r="E24" s="38" t="n">
        <x:v>1</x:v>
      </x:c>
      <x:c r="F24" s="70" t="n">
        <x:v>900</x:v>
      </x:c>
      <x:c r="G24" s="23"/>
      <x:c r="H24" s="71" t="n">
        <x:f>IF(E24=0,0,IF(COUNT(G24)=0,IF(COUNT(F24)=0,"",F24),G24))</x:f>
        <x:v>900</x:v>
      </x:c>
      <x:c r="I24" s="23"/>
      <x:c r="J24" s="71" t="str">
        <x:f>IF(OR(E24=0,COUNT(G24)=0),"",MAX(G24-I24,0))</x:f>
      </x:c>
      <x:c r="K24" s="71" t="str">
        <x:f>IF(OR(COUNT(G24)=0,COUNT(F24)=0),"",G24-F24)</x:f>
      </x:c>
      <x:c r="L24" s="67" t="str">
        <x:f>IF(E24=0,IF(I24&gt;0,"未纳入但已有付款","未纳入"),IF(COUNT(G24)=0,IF(COUNT(F24)=0,"待定金额","待询价"),IF(I24&gt;G24,"超付待核",IF(I24=G24,"已报价已付清",IF(I24&gt;0,"部分已付","已报价未登记付款")))))</x:f>
        <x:v>待询价</x:v>
      </x:c>
      <x:c r="M24" s="72" t="str">
        <x:v>卫生间门外两个透气设备柜，各450元。每个55×30×40cm，底220cm。独立于B42的八处吊柜。</x:v>
      </x:c>
      <x:c r="N24" s="2"/>
      <x:c r="O24" s="2"/>
    </x:row>
    <x:row r="25" ht="61" customHeight="1">
      <x:c r="A25" s="47" t="str">
        <x:v>B14</x:v>
      </x:c>
      <x:c r="B25" s="48" t="str">
        <x:v>灯具面板窗帘</x:v>
      </x:c>
      <x:c r="C25" s="49" t="str">
        <x:v>固定灯具与普通开关插座面板</x:v>
      </x:c>
      <x:c r="D25" s="41" t="n">
        <x:v>1</x:v>
      </x:c>
      <x:c r="E25" s="41" t="n">
        <x:v>1</x:v>
      </x:c>
      <x:c r="F25" s="51" t="n">
        <x:v>2960</x:v>
      </x:c>
      <x:c r="G25" s="43"/>
      <x:c r="H25" s="52" t="n">
        <x:f>IF(E25=0,0,IF(COUNT(G25)=0,IF(COUNT(F25)=0,"",F25),G25))</x:f>
        <x:v>2960</x:v>
      </x:c>
      <x:c r="I25" s="43"/>
      <x:c r="J25" s="52" t="str">
        <x:f>IF(OR(E25=0,COUNT(G25)=0),"",MAX(G25-I25,0))</x:f>
      </x:c>
      <x:c r="K25" s="52" t="str">
        <x:f>IF(OR(COUNT(G25)=0,COUNT(F25)=0),"",G25-F25)</x:f>
      </x:c>
      <x:c r="L25" s="47" t="str">
        <x:f>IF(E25=0,IF(I25&gt;0,"未纳入但已有付款","未纳入"),IF(COUNT(G25)=0,IF(COUNT(F25)=0,"待定金额","待询价"),IF(I25&gt;G25,"超付待核",IF(I25=G25,"已报价已付清",IF(I25&gt;0,"部分已付","已报价未登记付款")))))</x:f>
        <x:v>待询价</x:v>
      </x:c>
      <x:c r="M25" s="53" t="str">
        <x:v>14处固定灯、原37电源面板、7开关、4组网口面板。新增2电源和1组网口在B48。普通面板与水电套餐扣重。</x:v>
      </x:c>
      <x:c r="N25" s="2"/>
      <x:c r="O25" s="2"/>
    </x:row>
    <x:row r="26" ht="61" customHeight="1">
      <x:c r="A26" s="67" t="str">
        <x:v>B15</x:v>
      </x:c>
      <x:c r="B26" s="68" t="str">
        <x:v>灯具面板窗帘</x:v>
      </x:c>
      <x:c r="C26" s="68" t="str">
        <x:v>工位台灯（两盏）</x:v>
      </x:c>
      <x:c r="D26" s="38" t="n">
        <x:v>2</x:v>
      </x:c>
      <x:c r="E26" s="38" t="n">
        <x:v>1</x:v>
      </x:c>
      <x:c r="F26" s="70" t="n">
        <x:v>240</x:v>
      </x:c>
      <x:c r="G26" s="23"/>
      <x:c r="H26" s="71" t="n">
        <x:f>IF(E26=0,0,IF(COUNT(G26)=0,IF(COUNT(F26)=0,"",F26),G26))</x:f>
        <x:v>240</x:v>
      </x:c>
      <x:c r="I26" s="23"/>
      <x:c r="J26" s="71" t="str">
        <x:f>IF(OR(E26=0,COUNT(G26)=0),"",MAX(G26-I26,0))</x:f>
      </x:c>
      <x:c r="K26" s="71" t="str">
        <x:f>IF(OR(COUNT(G26)=0,COUNT(F26)=0),"",G26-F26)</x:f>
      </x:c>
      <x:c r="L26" s="67" t="str">
        <x:f>IF(E26=0,IF(I26&gt;0,"未纳入但已有付款","未纳入"),IF(COUNT(G26)=0,IF(COUNT(F26)=0,"待定金额","待询价"),IF(I26&gt;G26,"超付待核",IF(I26=G26,"已报价已付清",IF(I26&gt;0,"部分已付","已报价未登记付款")))))</x:f>
        <x:v>待询价</x:v>
      </x:c>
      <x:c r="M26" s="72" t="str">
        <x:v>核对照明、眩光与显示器反光。</x:v>
      </x:c>
      <x:c r="N26" s="2"/>
      <x:c r="O26" s="2"/>
    </x:row>
    <x:row r="27" ht="61" customHeight="1">
      <x:c r="A27" s="54" t="str">
        <x:v>B16</x:v>
      </x:c>
      <x:c r="B27" s="55" t="str">
        <x:v>灯具面板窗帘</x:v>
      </x:c>
      <x:c r="C27" s="55" t="str">
        <x:v>手拉窗帘与轨道</x:v>
      </x:c>
      <x:c r="D27" s="38" t="n">
        <x:v>2</x:v>
      </x:c>
      <x:c r="E27" s="38" t="n">
        <x:v>1</x:v>
      </x:c>
      <x:c r="F27" s="57" t="n">
        <x:v>1600</x:v>
      </x:c>
      <x:c r="G27" s="23"/>
      <x:c r="H27" s="58" t="n">
        <x:f>IF(E27=0,0,IF(COUNT(G27)=0,IF(COUNT(F27)=0,"",F27),G27))</x:f>
        <x:v>1600</x:v>
      </x:c>
      <x:c r="I27" s="23"/>
      <x:c r="J27" s="58" t="str">
        <x:f>IF(OR(E27=0,COUNT(G27)=0),"",MAX(G27-I27,0))</x:f>
      </x:c>
      <x:c r="K27" s="58" t="str">
        <x:f>IF(OR(COUNT(G27)=0,COUNT(F27)=0),"",G27-F27)</x:f>
      </x:c>
      <x:c r="L27" s="54" t="str">
        <x:f>IF(E27=0,IF(I27&gt;0,"未纳入但已有付款","未纳入"),IF(COUNT(G27)=0,IF(COUNT(F27)=0,"待定金额","待询价"),IF(I27&gt;G27,"超付待核",IF(I27=G27,"已报价已付清",IF(I27&gt;0,"部分已付","已报价未登记付款")))))</x:f>
        <x:v>待询价</x:v>
      </x:c>
      <x:c r="M27" s="59" t="str">
        <x:v>列布料尺寸、轨道、配件及安装；今后换电机与轨道的兼容性另核对。</x:v>
      </x:c>
      <x:c r="N27" s="2"/>
      <x:c r="O27" s="2"/>
    </x:row>
    <x:row r="28" ht="61" customHeight="1">
      <x:c r="A28" s="60" t="str">
        <x:v>B18</x:v>
      </x:c>
      <x:c r="B28" s="61" t="str">
        <x:v>家具与生活用品</x:v>
      </x:c>
      <x:c r="C28" s="62" t="str">
        <x:v>主卧床架与床垫</x:v>
      </x:c>
      <x:c r="D28" s="41" t="n">
        <x:v>2</x:v>
      </x:c>
      <x:c r="E28" s="41" t="n">
        <x:v>1</x:v>
      </x:c>
      <x:c r="F28" s="64" t="n">
        <x:v>4500</x:v>
      </x:c>
      <x:c r="G28" s="43"/>
      <x:c r="H28" s="65" t="n">
        <x:f>IF(E28=0,0,IF(COUNT(G28)=0,IF(COUNT(F28)=0,"",F28),G28))</x:f>
        <x:v>4500</x:v>
      </x:c>
      <x:c r="I28" s="43"/>
      <x:c r="J28" s="65" t="str">
        <x:f>IF(OR(E28=0,COUNT(G28)=0),"",MAX(G28-I28,0))</x:f>
      </x:c>
      <x:c r="K28" s="65" t="str">
        <x:f>IF(OR(COUNT(G28)=0,COUNT(F28)=0),"",G28-F28)</x:f>
      </x:c>
      <x:c r="L28" s="60" t="str">
        <x:f>IF(E28=0,IF(I28&gt;0,"未纳入但已有付款","未纳入"),IF(COUNT(G28)=0,IF(COUNT(F28)=0,"待定金额","待询价"),IF(I28&gt;G28,"超付待核",IF(I28=G28,"已报价已付清",IF(I28&gt;0,"部分已付","已报价未登记付款")))))</x:f>
        <x:v>待询价</x:v>
      </x:c>
      <x:c r="M28" s="66" t="str">
        <x:v>本版先按床头左右对调、靠图面右侧墙；完整床架尺寸、试躺与承重需复核；2.1米长款如需定制应明确价格。床头封墙，受压后净空和支脚位置按实物核对。</x:v>
      </x:c>
      <x:c r="N28" s="2"/>
      <x:c r="O28" s="2"/>
    </x:row>
    <x:row r="29" ht="61" customHeight="1">
      <x:c r="A29" s="54" t="str">
        <x:v>B19</x:v>
      </x:c>
      <x:c r="B29" s="55" t="str">
        <x:v>家具与生活用品</x:v>
      </x:c>
      <x:c r="C29" s="55" t="str">
        <x:v>客厅沙发</x:v>
      </x:c>
      <x:c r="D29" s="38" t="n">
        <x:v>2</x:v>
      </x:c>
      <x:c r="E29" s="38" t="n">
        <x:v>1</x:v>
      </x:c>
      <x:c r="F29" s="57" t="n">
        <x:v>2500</x:v>
      </x:c>
      <x:c r="G29" s="23"/>
      <x:c r="H29" s="58" t="n">
        <x:f>IF(E29=0,0,IF(COUNT(G29)=0,IF(COUNT(F29)=0,"",F29),G29))</x:f>
        <x:v>2500</x:v>
      </x:c>
      <x:c r="I29" s="23"/>
      <x:c r="J29" s="58" t="str">
        <x:f>IF(OR(E29=0,COUNT(G29)=0),"",MAX(G29-I29,0))</x:f>
      </x:c>
      <x:c r="K29" s="58" t="str">
        <x:f>IF(OR(COUNT(G29)=0,COUNT(F29)=0),"",G29-F29)</x:f>
      </x:c>
      <x:c r="L29" s="54" t="str">
        <x:f>IF(E29=0,IF(I29&gt;0,"未纳入但已有付款","未纳入"),IF(COUNT(G29)=0,IF(COUNT(F29)=0,"待定金额","待询价"),IF(I29&gt;G29,"超付待核",IF(I29=G29,"已报价已付清",IF(I29&gt;0,"部分已付","已报价未登记付款")))))</x:f>
        <x:v>待询价</x:v>
      </x:c>
      <x:c r="M29" s="59" t="str">
        <x:v>尺寸与电视区、餐区、双人工位及通道一起排布。按实物最低横撑与受压净空选型。</x:v>
      </x:c>
      <x:c r="N29" s="2"/>
      <x:c r="O29" s="2"/>
    </x:row>
    <x:row r="30" ht="96" customHeight="1">
      <x:c r="A30" s="67" t="str">
        <x:v>B20</x:v>
      </x:c>
      <x:c r="B30" s="68" t="str">
        <x:v>家具与生活用品</x:v>
      </x:c>
      <x:c r="C30" s="68" t="str">
        <x:v>餐桌椅</x:v>
      </x:c>
      <x:c r="D30" s="38" t="n">
        <x:v>2</x:v>
      </x:c>
      <x:c r="E30" s="38" t="n">
        <x:v>1</x:v>
      </x:c>
      <x:c r="F30" s="70" t="n">
        <x:v>1400</x:v>
      </x:c>
      <x:c r="G30" s="23"/>
      <x:c r="H30" s="71" t="n">
        <x:f>IF(E30=0,0,IF(COUNT(G30)=0,IF(COUNT(F30)=0,"",F30),G30))</x:f>
        <x:v>1400</x:v>
      </x:c>
      <x:c r="I30" s="23"/>
      <x:c r="J30" s="71" t="str">
        <x:f>IF(OR(E30=0,COUNT(G30)=0),"",MAX(G30-I30,0))</x:f>
      </x:c>
      <x:c r="K30" s="71" t="str">
        <x:f>IF(OR(COUNT(G30)=0,COUNT(F30)=0),"",G30-F30)</x:f>
      </x:c>
      <x:c r="L30" s="67" t="str">
        <x:f>IF(E30=0,IF(I30&gt;0,"未纳入但已有付款","未纳入"),IF(COUNT(G30)=0,IF(COUNT(F30)=0,"待定金额","待询价"),IF(I30&gt;G30,"超付待核",IF(I30=G30,"已报价已付清",IF(I30&gt;0,"部分已付","已报价未登记付款")))))</x:f>
        <x:v>待询价</x:v>
      </x:c>
      <x:c r="M30" s="72" t="str">
        <x:v>选无低位横撑款，核对实际腿间距、稳定性及承重；餐椅清扫时收近或移开，不靠折叠节省空间。</x:v>
      </x:c>
      <x:c r="N30" s="2"/>
      <x:c r="O30" s="34" t="str">
        <x:v>IKEA VIHALS餐椅：99.99元/把，两把199.98元，不含餐桌。查询日2026-10-08；页面缺货，净空待核。
https://www.ikea.cn/cn/zh/p/vihals-wei-ha-si-yi-zi-bai-se-80592734/</x:v>
      </x:c>
    </x:row>
    <x:row r="31" ht="96" customHeight="1">
      <x:c r="A31" s="54" t="str">
        <x:v>B21</x:v>
      </x:c>
      <x:c r="B31" s="55" t="str">
        <x:v>家具与生活用品</x:v>
      </x:c>
      <x:c r="C31" s="55" t="str">
        <x:v>两张电脑桌</x:v>
      </x:c>
      <x:c r="D31" s="38" t="n">
        <x:v>2</x:v>
      </x:c>
      <x:c r="E31" s="38" t="n">
        <x:v>1</x:v>
      </x:c>
      <x:c r="F31" s="57" t="n">
        <x:v>1400</x:v>
      </x:c>
      <x:c r="G31" s="23"/>
      <x:c r="H31" s="58" t="n">
        <x:f>IF(E31=0,0,IF(COUNT(G31)=0,IF(COUNT(F31)=0,"",F31),G31))</x:f>
        <x:v>1400</x:v>
      </x:c>
      <x:c r="I31" s="23"/>
      <x:c r="J31" s="58" t="str">
        <x:f>IF(OR(E31=0,COUNT(G31)=0),"",MAX(G31-I31,0))</x:f>
      </x:c>
      <x:c r="K31" s="58" t="str">
        <x:f>IF(OR(COUNT(G31)=0,COUNT(F31)=0),"",G31-F31)</x:f>
      </x:c>
      <x:c r="L31" s="54" t="str">
        <x:f>IF(E31=0,IF(I31&gt;0,"未纳入但已有付款","未纳入"),IF(COUNT(G31)=0,IF(COUNT(F31)=0,"待定金额","待询价"),IF(I31&gt;G31,"超付待核",IF(I31=G31,"已报价已付清",IF(I31&gt;0,"部分已付","已报价未登记付款")))))</x:f>
        <x:v>待询价</x:v>
      </x:c>
      <x:c r="M31" s="59" t="str">
        <x:v>电脑硬件不计采购；核对显示器与主机外尺寸。按58cm椅子收近桌边时中间约82cm，需实测已有椅子与阳台门。</x:v>
      </x:c>
      <x:c r="N31" s="2"/>
      <x:c r="O31" s="34" t="str">
        <x:v>IKEA LAGKAPTEN / OLOV桌：329元/张，两张658元。查询日2026-10-08；页面缺货，不适合屏幕支架。
https://www.ikea.cn/cn/zh/p/lagkapten-la-ge-kai-pu-olov-ao-le-fu-shu-zhuo-fang-bai-se-xiang-mu-wen-hei-se-s59416907/</x:v>
      </x:c>
    </x:row>
    <x:row r="32" ht="61" customHeight="1">
      <x:c r="A32" s="67" t="str">
        <x:v>B22</x:v>
      </x:c>
      <x:c r="B32" s="68" t="str">
        <x:v>家具与生活用品</x:v>
      </x:c>
      <x:c r="C32" s="68" t="str">
        <x:v>补一把电脑椅</x:v>
      </x:c>
      <x:c r="D32" s="38" t="n">
        <x:v>2</x:v>
      </x:c>
      <x:c r="E32" s="38" t="n">
        <x:v>1</x:v>
      </x:c>
      <x:c r="F32" s="70" t="n">
        <x:v>900</x:v>
      </x:c>
      <x:c r="G32" s="23"/>
      <x:c r="H32" s="71" t="n">
        <x:f>IF(E32=0,0,IF(COUNT(G32)=0,IF(COUNT(F32)=0,"",F32),G32))</x:f>
        <x:v>900</x:v>
      </x:c>
      <x:c r="I32" s="23"/>
      <x:c r="J32" s="71" t="str">
        <x:f>IF(OR(E32=0,COUNT(G32)=0),"",MAX(G32-I32,0))</x:f>
      </x:c>
      <x:c r="K32" s="71" t="str">
        <x:f>IF(OR(COUNT(G32)=0,COUNT(F32)=0),"",G32-F32)</x:f>
      </x:c>
      <x:c r="L32" s="67" t="str">
        <x:f>IF(E32=0,IF(I32&gt;0,"未纳入但已有付款","未纳入"),IF(COUNT(G32)=0,IF(COUNT(F32)=0,"待定金额","待询价"),IF(I32&gt;G32,"超付待核",IF(I32=G32,"已报价已付清",IF(I32&gt;0,"部分已付","已报价未登记付款")))))</x:f>
        <x:v>待询价</x:v>
      </x:c>
      <x:c r="M32" s="72" t="str">
        <x:v>已有椅子的搬运另与搬家统一考虑。</x:v>
      </x:c>
      <x:c r="N32" s="2"/>
      <x:c r="O32" s="2"/>
    </x:row>
    <x:row r="33" ht="61" customHeight="1">
      <x:c r="A33" s="54" t="str">
        <x:v>B23</x:v>
      </x:c>
      <x:c r="B33" s="55" t="str">
        <x:v>家具与生活用品</x:v>
      </x:c>
      <x:c r="C33" s="55" t="str">
        <x:v>梳妆台</x:v>
      </x:c>
      <x:c r="D33" s="38" t="n">
        <x:v>2</x:v>
      </x:c>
      <x:c r="E33" s="38" t="n">
        <x:v>1</x:v>
      </x:c>
      <x:c r="F33" s="57" t="n">
        <x:v>800</x:v>
      </x:c>
      <x:c r="G33" s="23"/>
      <x:c r="H33" s="58" t="n">
        <x:f>IF(E33=0,0,IF(COUNT(G33)=0,IF(COUNT(F33)=0,"",F33),G33))</x:f>
        <x:v>800</x:v>
      </x:c>
      <x:c r="I33" s="23"/>
      <x:c r="J33" s="58" t="str">
        <x:f>IF(OR(E33=0,COUNT(G33)=0),"",MAX(G33-I33,0))</x:f>
      </x:c>
      <x:c r="K33" s="58" t="str">
        <x:f>IF(OR(COUNT(G33)=0,COUNT(F33)=0),"",G33-F33)</x:f>
      </x:c>
      <x:c r="L33" s="54" t="str">
        <x:f>IF(E33=0,IF(I33&gt;0,"未纳入但已有付款","未纳入"),IF(COUNT(G33)=0,IF(COUNT(F33)=0,"待定金额","待询价"),IF(I33&gt;G33,"超付待核",IF(I33=G33,"已报价已付清",IF(I33&gt;0,"部分已付","已报价未登记付款")))))</x:f>
        <x:v>待询价</x:v>
      </x:c>
      <x:c r="M33" s="59" t="str">
        <x:v>插座G-P3与镜灯V-L1移到次卧。悬空固定按墙体核定，不能可靠固定时做封底落地款。</x:v>
      </x:c>
      <x:c r="N33" s="2"/>
      <x:c r="O33" s="2"/>
    </x:row>
    <x:row r="34" ht="61" customHeight="1">
      <x:c r="A34" s="67" t="str">
        <x:v>B24</x:v>
      </x:c>
      <x:c r="B34" s="68" t="str">
        <x:v>家具与生活用品</x:v>
      </x:c>
      <x:c r="C34" s="68" t="str">
        <x:v>入住杂项与开荒保洁</x:v>
      </x:c>
      <x:c r="D34" s="38" t="n">
        <x:v>2</x:v>
      </x:c>
      <x:c r="E34" s="38" t="n">
        <x:v>1</x:v>
      </x:c>
      <x:c r="F34" s="70" t="n">
        <x:v>1500</x:v>
      </x:c>
      <x:c r="G34" s="23"/>
      <x:c r="H34" s="71" t="n">
        <x:f>IF(E34=0,0,IF(COUNT(G34)=0,IF(COUNT(F34)=0,"",F34),G34))</x:f>
        <x:v>1500</x:v>
      </x:c>
      <x:c r="I34" s="23"/>
      <x:c r="J34" s="71" t="str">
        <x:f>IF(OR(E34=0,COUNT(G34)=0),"",MAX(G34-I34,0))</x:f>
      </x:c>
      <x:c r="K34" s="71" t="str">
        <x:f>IF(OR(COUNT(G34)=0,COUNT(F34)=0),"",G34-F34)</x:f>
      </x:c>
      <x:c r="L34" s="67" t="str">
        <x:f>IF(E34=0,IF(I34&gt;0,"未纳入但已有付款","未纳入"),IF(COUNT(G34)=0,IF(COUNT(F34)=0,"待定金额","待询价"),IF(I34&gt;G34,"超付待核",IF(I34=G34,"已报价已付清",IF(I34&gt;0,"部分已付","已报价未登记付款")))))</x:f>
        <x:v>待询价</x:v>
      </x:c>
      <x:c r="M34" s="72" t="str">
        <x:v>施工安装五金已在对应项目，不重复；已有电饭锅、空气炸锅继续用。</x:v>
      </x:c>
      <x:c r="N34" s="2"/>
      <x:c r="O34" s="2"/>
    </x:row>
    <x:row r="35" ht="61" customHeight="1">
      <x:c r="A35" s="54" t="str">
        <x:v>B37</x:v>
      </x:c>
      <x:c r="B35" s="55" t="str">
        <x:v>家具与生活用品</x:v>
      </x:c>
      <x:c r="C35" s="55" t="str">
        <x:v>次卧客床及床垫</x:v>
      </x:c>
      <x:c r="D35" s="38" t="n">
        <x:v>3</x:v>
      </x:c>
      <x:c r="E35" s="38" t="n">
        <x:v>1</x:v>
      </x:c>
      <x:c r="F35" s="57" t="n">
        <x:v>1400</x:v>
      </x:c>
      <x:c r="G35" s="23"/>
      <x:c r="H35" s="58" t="n">
        <x:f>IF(E35=0,0,IF(COUNT(G35)=0,IF(COUNT(F35)=0,"",F35),G35))</x:f>
        <x:v>1400</x:v>
      </x:c>
      <x:c r="I35" s="23"/>
      <x:c r="J35" s="58" t="str">
        <x:f>IF(OR(E35=0,COUNT(G35)=0),"",MAX(G35-I35,0))</x:f>
      </x:c>
      <x:c r="K35" s="58" t="str">
        <x:f>IF(OR(COUNT(G35)=0,COUNT(F35)=0),"",G35-F35)</x:f>
      </x:c>
      <x:c r="L35" s="54" t="str">
        <x:f>IF(E35=0,IF(I35&gt;0,"未纳入但已有付款","未纳入"),IF(COUNT(G35)=0,IF(COUNT(F35)=0,"待定金额","待询价"),IF(I35&gt;G35,"超付待核",IF(I35=G35,"已报价已付清",IF(I35&gt;0,"部分已付","已报价未登记付款")))))</x:f>
        <x:v>待询价</x:v>
      </x:c>
      <x:c r="M35" s="59" t="str">
        <x:v>单人尺寸与留宿人数未最终定，此为小客床预算；需要双人留宿时另核对。</x:v>
      </x:c>
      <x:c r="N35" s="2"/>
      <x:c r="O35" s="2"/>
    </x:row>
    <x:row r="36" ht="61" customHeight="1">
      <x:c r="A36" s="67" t="str">
        <x:v>B43</x:v>
      </x:c>
      <x:c r="B36" s="68" t="str">
        <x:v>家具与生活用品</x:v>
      </x:c>
      <x:c r="C36" s="68" t="str">
        <x:v>工位插排、走线槽与主机托架</x:v>
      </x:c>
      <x:c r="D36" s="38" t="n">
        <x:v>2</x:v>
      </x:c>
      <x:c r="E36" s="38" t="n">
        <x:v>1</x:v>
      </x:c>
      <x:c r="F36" s="70" t="n">
        <x:v>500</x:v>
      </x:c>
      <x:c r="G36" s="23"/>
      <x:c r="H36" s="71" t="n">
        <x:f>IF(E36=0,0,IF(COUNT(G36)=0,IF(COUNT(F36)=0,"",F36),G36))</x:f>
        <x:v>500</x:v>
      </x:c>
      <x:c r="I36" s="23"/>
      <x:c r="J36" s="71" t="str">
        <x:f>IF(OR(E36=0,COUNT(G36)=0),"",MAX(G36-I36,0))</x:f>
      </x:c>
      <x:c r="K36" s="71" t="str">
        <x:f>IF(OR(COUNT(G36)=0,COUNT(F36)=0),"",G36-F36)</x:f>
      </x:c>
      <x:c r="L36" s="67" t="str">
        <x:f>IF(E36=0,IF(I36&gt;0,"未纳入但已有付款","未纳入"),IF(COUNT(G36)=0,IF(COUNT(F36)=0,"待定金额","待询价"),IF(I36&gt;G36,"超付待核",IF(I36=G36,"已报价已付清",IF(I36&gt;0,"部分已付","已报价未登记付款")))))</x:f>
        <x:v>待询价</x:v>
      </x:c>
      <x:c r="M36" s="72" t="str">
        <x:v>插排直插墙面不串联，总负荷按实物额定；托架承重按主机，线缆固定离地。电脑硬件仍不计。</x:v>
      </x:c>
      <x:c r="N36" s="2"/>
      <x:c r="O36" s="2"/>
    </x:row>
    <x:row r="37" ht="61" customHeight="1">
      <x:c r="A37" s="54" t="str">
        <x:v>B44</x:v>
      </x:c>
      <x:c r="B37" s="55" t="str">
        <x:v>家具与生活用品</x:v>
      </x:c>
      <x:c r="C37" s="55" t="str">
        <x:v>挂衣钩、可复穿衣板和脏衣篮</x:v>
      </x:c>
      <x:c r="D37" s="38" t="n">
        <x:v>2</x:v>
      </x:c>
      <x:c r="E37" s="38" t="n">
        <x:v>1</x:v>
      </x:c>
      <x:c r="F37" s="57" t="n">
        <x:v>500</x:v>
      </x:c>
      <x:c r="G37" s="23"/>
      <x:c r="H37" s="58" t="n">
        <x:f>IF(E37=0,0,IF(COUNT(G37)=0,IF(COUNT(F37)=0,"",F37),G37))</x:f>
        <x:v>500</x:v>
      </x:c>
      <x:c r="I37" s="23"/>
      <x:c r="J37" s="58" t="str">
        <x:f>IF(OR(E37=0,COUNT(G37)=0),"",MAX(G37-I37,0))</x:f>
      </x:c>
      <x:c r="K37" s="58" t="str">
        <x:f>IF(OR(COUNT(G37)=0,COUNT(F37)=0),"",G37-F37)</x:f>
      </x:c>
      <x:c r="L37" s="54" t="str">
        <x:f>IF(E37=0,IF(I37&gt;0,"未纳入但已有付款","未纳入"),IF(COUNT(G37)=0,IF(COUNT(F37)=0,"待定金额","待询价"),IF(I37&gt;G37,"超付待核",IF(I37=G37,"已报价已付清",IF(I37&gt;0,"部分已付","已报价未登记付款")))))</x:f>
        <x:v>待询价</x:v>
      </x:c>
      <x:c r="M37" s="59" t="str">
        <x:v>柜体已在基础收纳，此行只计配件、壁挂板和篮子；供应商套餐已含时扣除。衣物不垂地，独立脏衣仓通风。</x:v>
      </x:c>
      <x:c r="N37" s="2"/>
      <x:c r="O37" s="2"/>
    </x:row>
    <x:row r="38" ht="61" customHeight="1">
      <x:c r="A38" s="67" t="str">
        <x:v>B46</x:v>
      </x:c>
      <x:c r="B38" s="68" t="str">
        <x:v>家具与生活用品</x:v>
      </x:c>
      <x:c r="C38" s="68" t="str">
        <x:v>悬空电视柜</x:v>
      </x:c>
      <x:c r="D38" s="38" t="n">
        <x:v>2</x:v>
      </x:c>
      <x:c r="E38" s="38" t="n">
        <x:v>1</x:v>
      </x:c>
      <x:c r="F38" s="70" t="n">
        <x:v>900</x:v>
      </x:c>
      <x:c r="G38" s="23"/>
      <x:c r="H38" s="71" t="n">
        <x:f>IF(E38=0,0,IF(COUNT(G38)=0,IF(COUNT(F38)=0,"",F38),G38))</x:f>
        <x:v>900</x:v>
      </x:c>
      <x:c r="I38" s="23"/>
      <x:c r="J38" s="71" t="str">
        <x:f>IF(OR(E38=0,COUNT(G38)=0),"",MAX(G38-I38,0))</x:f>
      </x:c>
      <x:c r="K38" s="71" t="str">
        <x:f>IF(OR(COUNT(G38)=0,COUNT(F38)=0),"",G38-F38)</x:f>
      </x:c>
      <x:c r="L38" s="67" t="str">
        <x:f>IF(E38=0,IF(I38&gt;0,"未纳入但已有付款","未纳入"),IF(COUNT(G38)=0,IF(COUNT(F38)=0,"待定金额","待询价"),IF(I38&gt;G38,"超付待核",IF(I38=G38,"已报价已付清",IF(I38&gt;0,"部分已付","已报价未登记付款")))))</x:f>
        <x:v>待询价</x:v>
      </x:c>
      <x:c r="M38" s="72" t="str">
        <x:v>本版补计此前遗漏的柜体900元。悬挂墙体固定条件需核对，不能悬空时选封底落地款。</x:v>
      </x:c>
      <x:c r="N38" s="2"/>
      <x:c r="O38" s="2"/>
    </x:row>
    <x:row r="39" ht="61" customHeight="1">
      <x:c r="A39" s="47" t="str">
        <x:v>B25</x:v>
      </x:c>
      <x:c r="B39" s="48" t="str">
        <x:v>家电与安装</x:v>
      </x:c>
      <x:c r="C39" s="49" t="str">
        <x:v>主卧空调</x:v>
      </x:c>
      <x:c r="D39" s="41" t="n">
        <x:v>2</x:v>
      </x:c>
      <x:c r="E39" s="41" t="n">
        <x:v>1</x:v>
      </x:c>
      <x:c r="F39" s="51" t="n">
        <x:v>2200</x:v>
      </x:c>
      <x:c r="G39" s="43"/>
      <x:c r="H39" s="52" t="n">
        <x:f>IF(E39=0,0,IF(COUNT(G39)=0,IF(COUNT(F39)=0,"",F39),G39))</x:f>
        <x:v>2200</x:v>
      </x:c>
      <x:c r="I39" s="43"/>
      <x:c r="J39" s="52" t="str">
        <x:f>IF(OR(E39=0,COUNT(G39)=0),"",MAX(G39-I39,0))</x:f>
      </x:c>
      <x:c r="K39" s="52" t="str">
        <x:f>IF(OR(COUNT(G39)=0,COUNT(F39)=0),"",G39-F39)</x:f>
      </x:c>
      <x:c r="L39" s="47" t="str">
        <x:f>IF(E39=0,IF(I39&gt;0,"未纳入但已有付款","未纳入"),IF(COUNT(G39)=0,IF(COUNT(F39)=0,"待定金额","待询价"),IF(I39&gt;G39,"超付待核",IF(I39=G39,"已报价已付清",IF(I39&gt;0,"部分已付","已报价未登记付款")))))</x:f>
        <x:v>待询价</x:v>
      </x:c>
      <x:c r="M39" s="53" t="str">
        <x:v>官网当前有1.5匹产品；型号、配色、安装条件与实际到手价以采购时核对。</x:v>
      </x:c>
      <x:c r="N39" s="2"/>
      <x:c r="O39" s="2"/>
    </x:row>
    <x:row r="40" ht="61" customHeight="1">
      <x:c r="A40" s="67" t="str">
        <x:v>B26</x:v>
      </x:c>
      <x:c r="B40" s="68" t="str">
        <x:v>家电与安装</x:v>
      </x:c>
      <x:c r="C40" s="68" t="str">
        <x:v>冰箱</x:v>
      </x:c>
      <x:c r="D40" s="38" t="n">
        <x:v>2</x:v>
      </x:c>
      <x:c r="E40" s="38" t="n">
        <x:v>1</x:v>
      </x:c>
      <x:c r="F40" s="70" t="n">
        <x:v>2500</x:v>
      </x:c>
      <x:c r="G40" s="23"/>
      <x:c r="H40" s="71" t="n">
        <x:f>IF(E40=0,0,IF(COUNT(G40)=0,IF(COUNT(F40)=0,"",F40),G40))</x:f>
        <x:v>2500</x:v>
      </x:c>
      <x:c r="I40" s="23"/>
      <x:c r="J40" s="71" t="str">
        <x:f>IF(OR(E40=0,COUNT(G40)=0),"",MAX(G40-I40,0))</x:f>
      </x:c>
      <x:c r="K40" s="71" t="str">
        <x:f>IF(OR(COUNT(G40)=0,COUNT(F40)=0),"",G40-F40)</x:f>
      </x:c>
      <x:c r="L40" s="67" t="str">
        <x:f>IF(E40=0,IF(I40&gt;0,"未纳入但已有付款","未纳入"),IF(COUNT(G40)=0,IF(COUNT(F40)=0,"待定金额","待询价"),IF(I40&gt;G40,"超付待核",IF(I40=G40,"已报价已付清",IF(I40&gt;0,"部分已付","已报价未登记付款")))))</x:f>
        <x:v>待询价</x:v>
      </x:c>
      <x:c r="M40" s="72" t="str">
        <x:v>容量只是方向；机身宽深、散热、开门和搬运尺寸必须先核对。</x:v>
      </x:c>
      <x:c r="N40" s="2"/>
      <x:c r="O40" s="2"/>
    </x:row>
    <x:row r="41" ht="61" customHeight="1">
      <x:c r="A41" s="54" t="str">
        <x:v>B27</x:v>
      </x:c>
      <x:c r="B41" s="55" t="str">
        <x:v>家电与安装</x:v>
      </x:c>
      <x:c r="C41" s="55" t="str">
        <x:v>洗烘一体机</x:v>
      </x:c>
      <x:c r="D41" s="38" t="n">
        <x:v>2</x:v>
      </x:c>
      <x:c r="E41" s="38" t="n">
        <x:v>1</x:v>
      </x:c>
      <x:c r="F41" s="57" t="n">
        <x:v>2500</x:v>
      </x:c>
      <x:c r="G41" s="23"/>
      <x:c r="H41" s="58" t="n">
        <x:f>IF(E41=0,0,IF(COUNT(G41)=0,IF(COUNT(F41)=0,"",F41),G41))</x:f>
        <x:v>2500</x:v>
      </x:c>
      <x:c r="I41" s="23"/>
      <x:c r="J41" s="58" t="str">
        <x:f>IF(OR(E41=0,COUNT(G41)=0),"",MAX(G41-I41,0))</x:f>
      </x:c>
      <x:c r="K41" s="58" t="str">
        <x:f>IF(OR(COUNT(G41)=0,COUNT(F41)=0),"",G41-F41)</x:f>
      </x:c>
      <x:c r="L41" s="54" t="str">
        <x:f>IF(E41=0,IF(I41&gt;0,"未纳入但已有付款","未纳入"),IF(COUNT(G41)=0,IF(COUNT(F41)=0,"待定金额","待询价"),IF(I41&gt;G41,"超付待核",IF(I41=G41,"已报价已付清",IF(I41&gt;0,"部分已付","已报价未登记付款")))))</x:f>
        <x:v>待询价</x:v>
      </x:c>
      <x:c r="M41" s="59" t="str">
        <x:v>是洗烘一体机；洗与烘额定容量分别查说明书，摆放区上下水和机身外尺寸待复尺。</x:v>
      </x:c>
      <x:c r="N41" s="2"/>
      <x:c r="O41" s="2"/>
    </x:row>
    <x:row r="42" ht="61" customHeight="1">
      <x:c r="A42" s="67" t="str">
        <x:v>B28</x:v>
      </x:c>
      <x:c r="B42" s="68" t="str">
        <x:v>家电与安装</x:v>
      </x:c>
      <x:c r="C42" s="68" t="str">
        <x:v>天然气烟灶套装</x:v>
      </x:c>
      <x:c r="D42" s="38" t="n">
        <x:v>1</x:v>
      </x:c>
      <x:c r="E42" s="38" t="n">
        <x:v>1</x:v>
      </x:c>
      <x:c r="F42" s="70" t="n">
        <x:v>2200</x:v>
      </x:c>
      <x:c r="G42" s="23"/>
      <x:c r="H42" s="71" t="n">
        <x:f>IF(E42=0,0,IF(COUNT(G42)=0,IF(COUNT(F42)=0,"",F42),G42))</x:f>
        <x:v>2200</x:v>
      </x:c>
      <x:c r="I42" s="23"/>
      <x:c r="J42" s="71" t="str">
        <x:f>IF(OR(E42=0,COUNT(G42)=0),"",MAX(G42-I42,0))</x:f>
      </x:c>
      <x:c r="K42" s="71" t="str">
        <x:f>IF(OR(COUNT(G42)=0,COUNT(F42)=0),"",G42-F42)</x:f>
      </x:c>
      <x:c r="L42" s="67" t="str">
        <x:f>IF(E42=0,IF(I42&gt;0,"未纳入但已有付款","未纳入"),IF(COUNT(G42)=0,IF(COUNT(F42)=0,"待定金额","待询价"),IF(I42&gt;G42,"超付待核",IF(I42=G42,"已报价已付清",IF(I42&gt;0,"部分已付","已报价未登记付款")))))</x:f>
        <x:v>待询价</x:v>
      </x:c>
      <x:c r="M42" s="72" t="str">
        <x:v>灶具气源、开孔、烟机尺寸、排烟连接按现选产品核对，烟灶不与橱柜台面重复报价。</x:v>
      </x:c>
      <x:c r="N42" s="2"/>
      <x:c r="O42" s="2"/>
    </x:row>
    <x:row r="43" ht="61" customHeight="1">
      <x:c r="A43" s="54" t="str">
        <x:v>B29</x:v>
      </x:c>
      <x:c r="B43" s="55" t="str">
        <x:v>家电与安装</x:v>
      </x:c>
      <x:c r="C43" s="55" t="str">
        <x:v>燃气热水器</x:v>
      </x:c>
      <x:c r="D43" s="38" t="n">
        <x:v>1</x:v>
      </x:c>
      <x:c r="E43" s="38" t="n">
        <x:v>1</x:v>
      </x:c>
      <x:c r="F43" s="57" t="n">
        <x:v>1900</x:v>
      </x:c>
      <x:c r="G43" s="23"/>
      <x:c r="H43" s="58" t="n">
        <x:f>IF(E43=0,0,IF(COUNT(G43)=0,IF(COUNT(F43)=0,"",F43),G43))</x:f>
        <x:v>1900</x:v>
      </x:c>
      <x:c r="I43" s="23"/>
      <x:c r="J43" s="58" t="str">
        <x:f>IF(OR(E43=0,COUNT(G43)=0),"",MAX(G43-I43,0))</x:f>
      </x:c>
      <x:c r="K43" s="58" t="str">
        <x:f>IF(OR(COUNT(G43)=0,COUNT(F43)=0),"",G43-F43)</x:f>
      </x:c>
      <x:c r="L43" s="54" t="str">
        <x:f>IF(E43=0,IF(I43&gt;0,"未纳入但已有付款","未纳入"),IF(COUNT(G43)=0,IF(COUNT(F43)=0,"待定金额","待询价"),IF(I43&gt;G43,"超付待核",IF(I43=G43,"已报价已付清",IF(I43&gt;0,"部分已付","已报价未登记付款")))))</x:f>
        <x:v>待询价</x:v>
      </x:c>
      <x:c r="M43" s="59" t="str">
        <x:v>这是预算方案而非已定型号；排烟和安装条件需安装方现场核对；不默认使用高价双循环Pro款。</x:v>
      </x:c>
      <x:c r="N43" s="2"/>
      <x:c r="O43" s="2"/>
    </x:row>
    <x:row r="44" ht="61" customHeight="1">
      <x:c r="A44" s="67" t="str">
        <x:v>B30</x:v>
      </x:c>
      <x:c r="B44" s="68" t="str">
        <x:v>家电与安装</x:v>
      </x:c>
      <x:c r="C44" s="68" t="str">
        <x:v>入住家电安装与辅材</x:v>
      </x:c>
      <x:c r="D44" s="38" t="n">
        <x:v>2</x:v>
      </x:c>
      <x:c r="E44" s="38" t="n">
        <x:v>1</x:v>
      </x:c>
      <x:c r="F44" s="70" t="n">
        <x:v>800</x:v>
      </x:c>
      <x:c r="G44" s="23"/>
      <x:c r="H44" s="71" t="n">
        <x:f>IF(E44=0,0,IF(COUNT(G44)=0,IF(COUNT(F44)=0,"",F44),G44))</x:f>
        <x:v>800</x:v>
      </x:c>
      <x:c r="I44" s="23"/>
      <x:c r="J44" s="71" t="str">
        <x:f>IF(OR(E44=0,COUNT(G44)=0),"",MAX(G44-I44,0))</x:f>
      </x:c>
      <x:c r="K44" s="71" t="str">
        <x:f>IF(OR(COUNT(G44)=0,COUNT(F44)=0),"",G44-F44)</x:f>
      </x:c>
      <x:c r="L44" s="67" t="str">
        <x:f>IF(E44=0,IF(I44&gt;0,"未纳入但已有付款","未纳入"),IF(COUNT(G44)=0,IF(COUNT(F44)=0,"待定金额","待询价"),IF(I44&gt;G44,"超付待核",IF(I44=G44,"已报价已付清",IF(I44&gt;0,"部分已付","已报价未登记付款")))))</x:f>
        <x:v>待询价</x:v>
      </x:c>
      <x:c r="M44" s="72" t="str">
        <x:v>不是默认安装收费；逐台查免费项目与超出部分，已计入装修或设备套餐的部分扣除。</x:v>
      </x:c>
      <x:c r="N44" s="2"/>
      <x:c r="O44" s="2"/>
    </x:row>
    <x:row r="45" ht="61" customHeight="1">
      <x:c r="A45" s="54" t="str">
        <x:v>B31</x:v>
      </x:c>
      <x:c r="B45" s="55" t="str">
        <x:v>家电与安装</x:v>
      </x:c>
      <x:c r="C45" s="55" t="str">
        <x:v>烟灶热水器安装辅材</x:v>
      </x:c>
      <x:c r="D45" s="38" t="n">
        <x:v>1</x:v>
      </x:c>
      <x:c r="E45" s="38" t="n">
        <x:v>1</x:v>
      </x:c>
      <x:c r="F45" s="57" t="n">
        <x:v>600</x:v>
      </x:c>
      <x:c r="G45" s="23"/>
      <x:c r="H45" s="58" t="n">
        <x:f>IF(E45=0,0,IF(COUNT(G45)=0,IF(COUNT(F45)=0,"",F45),G45))</x:f>
        <x:v>600</x:v>
      </x:c>
      <x:c r="I45" s="23"/>
      <x:c r="J45" s="58" t="str">
        <x:f>IF(OR(E45=0,COUNT(G45)=0),"",MAX(G45-I45,0))</x:f>
      </x:c>
      <x:c r="K45" s="58" t="str">
        <x:f>IF(OR(COUNT(G45)=0,COUNT(F45)=0),"",G45-F45)</x:f>
      </x:c>
      <x:c r="L45" s="54" t="str">
        <x:f>IF(E45=0,IF(I45&gt;0,"未纳入但已有付款","未纳入"),IF(COUNT(G45)=0,IF(COUNT(F45)=0,"待定金额","待询价"),IF(I45&gt;G45,"超付待核",IF(I45=G45,"已报价已付清",IF(I45&gt;0,"部分已付","已报价未登记付款")))))</x:f>
        <x:v>待询价</x:v>
      </x:c>
      <x:c r="M45" s="59" t="str">
        <x:v>已包含在设备或装修套餐中的部分扣除；需现场勘察。</x:v>
      </x:c>
      <x:c r="N45" s="2"/>
      <x:c r="O45" s="2"/>
    </x:row>
    <x:row r="46" ht="61" customHeight="1">
      <x:c r="A46" s="67" t="str">
        <x:v>B32</x:v>
      </x:c>
      <x:c r="B46" s="68" t="str">
        <x:v>家电与安装</x:v>
      </x:c>
      <x:c r="C46" s="68" t="str">
        <x:v>补充基础小家电</x:v>
      </x:c>
      <x:c r="D46" s="38" t="n">
        <x:v>2</x:v>
      </x:c>
      <x:c r="E46" s="38" t="n">
        <x:v>1</x:v>
      </x:c>
      <x:c r="F46" s="70" t="n">
        <x:v>400</x:v>
      </x:c>
      <x:c r="G46" s="23"/>
      <x:c r="H46" s="71" t="n">
        <x:f>IF(E46=0,0,IF(COUNT(G46)=0,IF(COUNT(F46)=0,"",F46),G46))</x:f>
        <x:v>400</x:v>
      </x:c>
      <x:c r="I46" s="23"/>
      <x:c r="J46" s="71" t="str">
        <x:f>IF(OR(E46=0,COUNT(G46)=0),"",MAX(G46-I46,0))</x:f>
      </x:c>
      <x:c r="K46" s="71" t="str">
        <x:f>IF(OR(COUNT(G46)=0,COUNT(F46)=0),"",G46-F46)</x:f>
      </x:c>
      <x:c r="L46" s="67" t="str">
        <x:f>IF(E46=0,IF(I46&gt;0,"未纳入但已有付款","未纳入"),IF(COUNT(G46)=0,IF(COUNT(F46)=0,"待定金额","待询价"),IF(I46&gt;G46,"超付待核",IF(I46=G46,"已报价已付清",IF(I46&gt;0,"部分已付","已报价未登记付款")))))</x:f>
        <x:v>待询价</x:v>
      </x:c>
      <x:c r="M46" s="72" t="str">
        <x:v>此项为占位，可用现成用品时削减。</x:v>
      </x:c>
      <x:c r="N46" s="2"/>
      <x:c r="O46" s="2"/>
    </x:row>
    <x:row r="47" ht="61" customHeight="1">
      <x:c r="A47" s="54" t="str">
        <x:v>B33</x:v>
      </x:c>
      <x:c r="B47" s="55" t="str">
        <x:v>家电与安装</x:v>
      </x:c>
      <x:c r="C47" s="55" t="str">
        <x:v>客餐厅空调</x:v>
      </x:c>
      <x:c r="D47" s="38" t="n">
        <x:v>3</x:v>
      </x:c>
      <x:c r="E47" s="38" t="n">
        <x:v>1</x:v>
      </x:c>
      <x:c r="F47" s="57" t="n">
        <x:v>3500</x:v>
      </x:c>
      <x:c r="G47" s="23"/>
      <x:c r="H47" s="58" t="n">
        <x:f>IF(E47=0,0,IF(COUNT(G47)=0,IF(COUNT(F47)=0,"",F47),G47))</x:f>
        <x:v>3500</x:v>
      </x:c>
      <x:c r="I47" s="23"/>
      <x:c r="J47" s="58" t="str">
        <x:f>IF(OR(E47=0,COUNT(G47)=0),"",MAX(G47-I47,0))</x:f>
      </x:c>
      <x:c r="K47" s="58" t="str">
        <x:f>IF(OR(COUNT(G47)=0,COUNT(F47)=0),"",G47-F47)</x:f>
      </x:c>
      <x:c r="L47" s="54" t="str">
        <x:f>IF(E47=0,IF(I47&gt;0,"未纳入但已有付款","未纳入"),IF(COUNT(G47)=0,IF(COUNT(F47)=0,"待定金额","待询价"),IF(I47&gt;G47,"超付待核",IF(I47=G47,"已报价已付清",IF(I47&gt;0,"部分已付","已报价未登记付款")))))</x:f>
        <x:v>待询价</x:v>
      </x:c>
      <x:c r="M47" s="59" t="str">
        <x:v>朝向、西晒、层高和使用热负荷需复核；挂机/柜机最后结合布局选。安装补差总额统一核对。</x:v>
      </x:c>
      <x:c r="N47" s="2"/>
      <x:c r="O47" s="2"/>
    </x:row>
    <x:row r="48" ht="61" customHeight="1">
      <x:c r="A48" s="67" t="str">
        <x:v>B34</x:v>
      </x:c>
      <x:c r="B48" s="68" t="str">
        <x:v>家电与安装</x:v>
      </x:c>
      <x:c r="C48" s="68" t="str">
        <x:v>电视</x:v>
      </x:c>
      <x:c r="D48" s="38" t="n">
        <x:v>3</x:v>
      </x:c>
      <x:c r="E48" s="38" t="n">
        <x:v>1</x:v>
      </x:c>
      <x:c r="F48" s="70" t="n">
        <x:v>2600</x:v>
      </x:c>
      <x:c r="G48" s="23"/>
      <x:c r="H48" s="71" t="n">
        <x:f>IF(E48=0,0,IF(COUNT(G48)=0,IF(COUNT(F48)=0,"",F48),G48))</x:f>
        <x:v>2600</x:v>
      </x:c>
      <x:c r="I48" s="23"/>
      <x:c r="J48" s="71" t="str">
        <x:f>IF(OR(E48=0,COUNT(G48)=0),"",MAX(G48-I48,0))</x:f>
      </x:c>
      <x:c r="K48" s="71" t="str">
        <x:f>IF(OR(COUNT(G48)=0,COUNT(F48)=0),"",G48-F48)</x:f>
      </x:c>
      <x:c r="L48" s="67" t="str">
        <x:f>IF(E48=0,IF(I48&gt;0,"未纳入但已有付款","未纳入"),IF(COUNT(G48)=0,IF(COUNT(F48)=0,"待定金额","待询价"),IF(I48&gt;G48,"超付待核",IF(I48=G48,"已报价已付清",IF(I48&gt;0,"部分已付","已报价未登记付款")))))</x:f>
        <x:v>待询价</x:v>
      </x:c>
      <x:c r="M48" s="72" t="str">
        <x:v>先定观看位置与柜位，尺寸和游戏接口需求再选；本行不含游戏主机采购。</x:v>
      </x:c>
      <x:c r="N48" s="2"/>
      <x:c r="O48" s="2"/>
    </x:row>
    <x:row r="49" ht="61" customHeight="1">
      <x:c r="A49" s="54" t="str">
        <x:v>B35</x:v>
      </x:c>
      <x:c r="B49" s="55" t="str">
        <x:v>家电与安装</x:v>
      </x:c>
      <x:c r="C49" s="55" t="str">
        <x:v>自动上下水扫拖机器人</x:v>
      </x:c>
      <x:c r="D49" s="38" t="n">
        <x:v>3</x:v>
      </x:c>
      <x:c r="E49" s="38" t="n">
        <x:v>1</x:v>
      </x:c>
      <x:c r="F49" s="57" t="n">
        <x:v>3500</x:v>
      </x:c>
      <x:c r="G49" s="23"/>
      <x:c r="H49" s="58" t="n">
        <x:f>IF(E49=0,0,IF(COUNT(G49)=0,IF(COUNT(F49)=0,"",F49),G49))</x:f>
        <x:v>3500</x:v>
      </x:c>
      <x:c r="I49" s="23"/>
      <x:c r="J49" s="58" t="str">
        <x:f>IF(OR(E49=0,COUNT(G49)=0),"",MAX(G49-I49,0))</x:f>
      </x:c>
      <x:c r="K49" s="58" t="str">
        <x:f>IF(OR(COUNT(G49)=0,COUNT(F49)=0),"",G49-F49)</x:f>
      </x:c>
      <x:c r="L49" s="54" t="str">
        <x:f>IF(E49=0,IF(I49&gt;0,"未纳入但已有付款","未纳入"),IF(COUNT(G49)=0,IF(COUNT(F49)=0,"待定金额","待询价"),IF(I49&gt;G49,"超付待核",IF(I49=G49,"已报价已付清",IF(I49&gt;0,"部分已付","已报价未登记付款")))))</x:f>
        <x:v>待询价</x:v>
      </x:c>
      <x:c r="M49" s="59" t="str">
        <x:v>必须先定兼容型号与厂家安装条件再下橱柜单。无底板、踢脚板或前门；水电在旁柜可检修。3500元仅预算，未定型号。</x:v>
      </x:c>
      <x:c r="N49" s="2"/>
      <x:c r="O49" s="2"/>
    </x:row>
    <x:row r="50" ht="61" customHeight="1">
      <x:c r="A50" s="67" t="str">
        <x:v>B36</x:v>
      </x:c>
      <x:c r="B50" s="68" t="str">
        <x:v>家电与安装</x:v>
      </x:c>
      <x:c r="C50" s="68" t="str">
        <x:v>洗碗机</x:v>
      </x:c>
      <x:c r="D50" s="38" t="n">
        <x:v>3</x:v>
      </x:c>
      <x:c r="E50" s="38" t="n">
        <x:v>1</x:v>
      </x:c>
      <x:c r="F50" s="70" t="n">
        <x:v>3000</x:v>
      </x:c>
      <x:c r="G50" s="23"/>
      <x:c r="H50" s="71" t="n">
        <x:f>IF(E50=0,0,IF(COUNT(G50)=0,IF(COUNT(F50)=0,"",F50),G50))</x:f>
        <x:v>3000</x:v>
      </x:c>
      <x:c r="I50" s="23"/>
      <x:c r="J50" s="71" t="str">
        <x:f>IF(OR(E50=0,COUNT(G50)=0),"",MAX(G50-I50,0))</x:f>
      </x:c>
      <x:c r="K50" s="71" t="str">
        <x:f>IF(OR(COUNT(G50)=0,COUNT(F50)=0),"",G50-F50)</x:f>
      </x:c>
      <x:c r="L50" s="67" t="str">
        <x:f>IF(E50=0,IF(I50&gt;0,"未纳入但已有付款","未纳入"),IF(COUNT(G50)=0,IF(COUNT(F50)=0,"待定金额","待询价"),IF(I50&gt;G50,"超付待核",IF(I50=G50,"已报价已付清",IF(I50&gt;0,"部分已付","已报价未登记付款")))))</x:f>
        <x:v>待询价</x:v>
      </x:c>
      <x:c r="M50" s="72" t="str">
        <x:v>宽深高、开门和水路以拟选型号为准；机器与橱柜范围分清。</x:v>
      </x:c>
      <x:c r="N50" s="2"/>
      <x:c r="O50" s="2"/>
    </x:row>
    <x:row r="51" ht="61" customHeight="1">
      <x:c r="A51" s="47" t="str">
        <x:v>B17</x:v>
      </x:c>
      <x:c r="B51" s="48" t="str">
        <x:v>音箱与网络</x:v>
      </x:c>
      <x:c r="C51" s="49" t="str">
        <x:v>基础智能与网络设备</x:v>
      </x:c>
      <x:c r="D51" s="41" t="n">
        <x:v>2</x:v>
      </x:c>
      <x:c r="E51" s="41" t="n">
        <x:v>1</x:v>
      </x:c>
      <x:c r="F51" s="51" t="n">
        <x:v>350</x:v>
      </x:c>
      <x:c r="G51" s="43"/>
      <x:c r="H51" s="52" t="n">
        <x:f>IF(E51=0,0,IF(COUNT(G51)=0,IF(COUNT(F51)=0,"",F51),G51))</x:f>
        <x:v>350</x:v>
      </x:c>
      <x:c r="I51" s="43"/>
      <x:c r="J51" s="52" t="str">
        <x:f>IF(OR(E51=0,COUNT(G51)=0),"",MAX(G51-I51,0))</x:f>
      </x:c>
      <x:c r="K51" s="52" t="str">
        <x:f>IF(OR(COUNT(G51)=0,COUNT(F51)=0),"",G51-F51)</x:f>
      </x:c>
      <x:c r="L51" s="47" t="str">
        <x:f>IF(E51=0,IF(I51&gt;0,"未纳入但已有付款","未纳入"),IF(COUNT(G51)=0,IF(COUNT(F51)=0,"待定金额","待询价"),IF(I51&gt;G51,"超付待核",IF(I51=G51,"已报价已付清",IF(I51&gt;0,"部分已付","已报价未登记付款")))))</x:f>
        <x:v>待询价</x:v>
      </x:c>
      <x:c r="M51" s="53" t="str">
        <x:v>Wi-Fi已有复用，不另购。音箱350元为用户预算。网关、开关、窗帘等后期DIY控制费用列P03，未取得实价。</x:v>
      </x:c>
      <x:c r="N51" s="2"/>
      <x:c r="O51" s="2"/>
    </x:row>
    <x:row r="52" ht="61" customHeight="1">
      <x:c r="A52" s="60" t="str">
        <x:v>B38</x:v>
      </x:c>
      <x:c r="B52" s="61" t="str">
        <x:v>可选项目</x:v>
      </x:c>
      <x:c r="C52" s="62" t="str">
        <x:v>次卧空调</x:v>
      </x:c>
      <x:c r="D52" s="41" t="n">
        <x:v>3</x:v>
      </x:c>
      <x:c r="E52" s="41" t="n">
        <x:v>0</x:v>
      </x:c>
      <x:c r="F52" s="64" t="n">
        <x:v>2200</x:v>
      </x:c>
      <x:c r="G52" s="43"/>
      <x:c r="H52" s="65" t="n">
        <x:f>IF(E52=0,0,IF(COUNT(G52)=0,IF(COUNT(F52)=0,"",F52),G52))</x:f>
        <x:v>0</x:v>
      </x:c>
      <x:c r="I52" s="43"/>
      <x:c r="J52" s="65" t="str">
        <x:f>IF(OR(E52=0,COUNT(G52)=0),"",MAX(G52-I52,0))</x:f>
      </x:c>
      <x:c r="K52" s="65" t="str">
        <x:f>IF(OR(COUNT(G52)=0,COUNT(F52)=0),"",G52-F52)</x:f>
      </x:c>
      <x:c r="L52" s="60" t="str">
        <x:f>IF(E52=0,IF(I52&gt;0,"未纳入但已有付款","未纳入"),IF(COUNT(G52)=0,IF(COUNT(F52)=0,"待定金额","待询价"),IF(I52&gt;G52,"超付待核",IF(I52=G52,"已报价已付清",IF(I52&gt;0,"部分已付","已报价未登记付款")))))</x:f>
        <x:v>未纳入</x:v>
      </x:c>
      <x:c r="M52" s="66" t="str">
        <x:v>未列入当前必要合计；如需求确定，预算表的“纳入”改为1即可计入。</x:v>
      </x:c>
      <x:c r="N52" s="2"/>
      <x:c r="O52" s="2"/>
    </x:row>
    <x:row r="53" ht="61" customHeight="1">
      <x:c r="A53" s="54" t="str">
        <x:v>B39</x:v>
      </x:c>
      <x:c r="B53" s="55" t="str">
        <x:v>可选项目</x:v>
      </x:c>
      <x:c r="C53" s="55" t="str">
        <x:v>厨下净水器</x:v>
      </x:c>
      <x:c r="D53" s="38" t="n">
        <x:v>3</x:v>
      </x:c>
      <x:c r="E53" s="38" t="n">
        <x:v>0</x:v>
      </x:c>
      <x:c r="F53" s="57" t="n">
        <x:v>1400</x:v>
      </x:c>
      <x:c r="G53" s="23"/>
      <x:c r="H53" s="58" t="n">
        <x:f>IF(E53=0,0,IF(COUNT(G53)=0,IF(COUNT(F53)=0,"",F53),G53))</x:f>
        <x:v>0</x:v>
      </x:c>
      <x:c r="I53" s="23"/>
      <x:c r="J53" s="58" t="str">
        <x:f>IF(OR(E53=0,COUNT(G53)=0),"",MAX(G53-I53,0))</x:f>
      </x:c>
      <x:c r="K53" s="58" t="str">
        <x:f>IF(OR(COUNT(G53)=0,COUNT(F53)=0),"",G53-F53)</x:f>
      </x:c>
      <x:c r="L53" s="54" t="str">
        <x:f>IF(E53=0,IF(I53&gt;0,"未纳入但已有付款","未纳入"),IF(COUNT(G53)=0,IF(COUNT(F53)=0,"待定金额","待询价"),IF(I53&gt;G53,"超付待核",IF(I53=G53,"已报价已付清",IF(I53&gt;0,"部分已付","已报价未登记付款")))))</x:f>
        <x:v>未纳入</x:v>
      </x:c>
      <x:c r="M53" s="59" t="str">
        <x:v>未计入合计；耗材费用另按型号核对。</x:v>
      </x:c>
      <x:c r="N53" s="2"/>
      <x:c r="O53" s="2"/>
    </x:row>
    <x:row r="54" ht="61" customHeight="1">
      <x:c r="A54" s="67" t="str">
        <x:v>B40</x:v>
      </x:c>
      <x:c r="B54" s="68" t="str">
        <x:v>可选项目</x:v>
      </x:c>
      <x:c r="C54" s="68" t="str">
        <x:v>智能门锁升级差价</x:v>
      </x:c>
      <x:c r="D54" s="38" t="n">
        <x:v>3</x:v>
      </x:c>
      <x:c r="E54" s="38" t="n">
        <x:v>0</x:v>
      </x:c>
      <x:c r="F54" s="70" t="n">
        <x:v>1000</x:v>
      </x:c>
      <x:c r="G54" s="23"/>
      <x:c r="H54" s="71" t="n">
        <x:f>IF(E54=0,0,IF(COUNT(G54)=0,IF(COUNT(F54)=0,"",F54),G54))</x:f>
        <x:v>0</x:v>
      </x:c>
      <x:c r="I54" s="23"/>
      <x:c r="J54" s="71" t="str">
        <x:f>IF(OR(E54=0,COUNT(G54)=0),"",MAX(G54-I54,0))</x:f>
      </x:c>
      <x:c r="K54" s="71" t="str">
        <x:f>IF(OR(COUNT(G54)=0,COUNT(F54)=0),"",G54-F54)</x:f>
      </x:c>
      <x:c r="L54" s="67" t="str">
        <x:f>IF(E54=0,IF(I54&gt;0,"未纳入但已有付款","未纳入"),IF(COUNT(G54)=0,IF(COUNT(F54)=0,"待定金额","待询价"),IF(I54&gt;G54,"超付待核",IF(I54=G54,"已报价已付清",IF(I54&gt;0,"部分已付","已报价未登记付款")))))</x:f>
        <x:v>未纳入</x:v>
      </x:c>
      <x:c r="M54" s="72" t="str">
        <x:v>普通配套锁已在入户门项；本行仅估升级差价，避免两套锁重复计价。</x:v>
      </x:c>
      <x:c r="N54" s="2"/>
      <x:c r="O54" s="2"/>
    </x:row>
    <x:row r="55" ht="61" customHeight="1">
      <x:c r="A55" s="54" t="str">
        <x:v>B41</x:v>
      </x:c>
      <x:c r="B55" s="55" t="str">
        <x:v>可选项目</x:v>
      </x:c>
      <x:c r="C55" s="55" t="str">
        <x:v>电动窗帘后续升级</x:v>
      </x:c>
      <x:c r="D55" s="38" t="n">
        <x:v>3</x:v>
      </x:c>
      <x:c r="E55" s="38" t="n">
        <x:v>0</x:v>
      </x:c>
      <x:c r="F55" s="57" t="n">
        <x:v>1800</x:v>
      </x:c>
      <x:c r="G55" s="23"/>
      <x:c r="H55" s="58" t="n">
        <x:f>IF(E55=0,0,IF(COUNT(G55)=0,IF(COUNT(F55)=0,"",F55),G55))</x:f>
        <x:v>0</x:v>
      </x:c>
      <x:c r="I55" s="23"/>
      <x:c r="J55" s="58" t="str">
        <x:f>IF(OR(E55=0,COUNT(G55)=0),"",MAX(G55-I55,0))</x:f>
      </x:c>
      <x:c r="K55" s="58" t="str">
        <x:f>IF(OR(COUNT(G55)=0,COUNT(F55)=0),"",G55-F55)</x:f>
      </x:c>
      <x:c r="L55" s="54" t="str">
        <x:f>IF(E55=0,IF(I55&gt;0,"未纳入但已有付款","未纳入"),IF(COUNT(G55)=0,IF(COUNT(F55)=0,"待定金额","待询价"),IF(I55&gt;G55,"超付待核",IF(I55=G55,"已报价已付清",IF(I55&gt;0,"部分已付","已报价未登记付款")))))</x:f>
        <x:v>未纳入</x:v>
      </x:c>
      <x:c r="M55" s="59" t="str">
        <x:v>旧成品电动窗帘升级备选1800元。当前不纳入，不是DIY实价。若改成品并纳入，先调整P03范围，避免重复。</x:v>
      </x:c>
      <x:c r="N55" s="2"/>
      <x:c r="O55" s="2"/>
    </x:row>
    <x:row r="56" ht="61" customHeight="1">
      <x:c r="A56" s="60" t="str">
        <x:v>P01</x:v>
      </x:c>
      <x:c r="B56" s="61" t="str">
        <x:v>待定费用</x:v>
      </x:c>
      <x:c r="C56" s="62" t="str">
        <x:v>蒸烤一体机及安装</x:v>
      </x:c>
      <x:c r="D56" s="41" t="n">
        <x:v>3</x:v>
      </x:c>
      <x:c r="E56" s="41" t="n">
        <x:v>1</x:v>
      </x:c>
      <x:c r="F56" s="64"/>
      <x:c r="G56" s="43"/>
      <x:c r="H56" s="65" t="str">
        <x:f>IF(E56=0,0,IF(COUNT(G56)=0,IF(COUNT(F56)=0,"",F56),G56))</x:f>
      </x:c>
      <x:c r="I56" s="43"/>
      <x:c r="J56" s="65" t="str">
        <x:f>IF(OR(E56=0,COUNT(G56)=0),"",MAX(G56-I56,0))</x:f>
      </x:c>
      <x:c r="K56" s="65" t="str">
        <x:f>IF(OR(COUNT(G56)=0,COUNT(F56)=0),"",G56-F56)</x:f>
      </x:c>
      <x:c r="L56" s="60" t="str">
        <x:f>IF(E56=0,IF(I56&gt;0,"未纳入但已有付款","未纳入"),IF(COUNT(G56)=0,IF(COUNT(F56)=0,"待定金额","待询价"),IF(I56&gt;G56,"超付待核",IF(I56=G56,"已报价已付清",IF(I56&gt;0,"部分已付","已报价未登记付款")))))</x:f>
        <x:v>待定金额</x:v>
      </x:c>
      <x:c r="M56" s="66" t="str">
        <x:v>需求已保留。型号、柜位、散热、电源和安装费待核。暂不将未知费用写成0元。</x:v>
      </x:c>
      <x:c r="N56" s="2"/>
      <x:c r="O56" s="2"/>
    </x:row>
    <x:row r="57" ht="61" customHeight="1">
      <x:c r="A57" s="54" t="str">
        <x:v>P02</x:v>
      </x:c>
      <x:c r="B57" s="55" t="str">
        <x:v>待定费用</x:v>
      </x:c>
      <x:c r="C57" s="55" t="str">
        <x:v>新增DIY管线与预留差额</x:v>
      </x:c>
      <x:c r="D57" s="38" t="n">
        <x:v>1</x:v>
      </x:c>
      <x:c r="E57" s="38" t="n">
        <x:v>1</x:v>
      </x:c>
      <x:c r="F57" s="57"/>
      <x:c r="G57" s="23"/>
      <x:c r="H57" s="58" t="str">
        <x:f>IF(E57=0,0,IF(COUNT(G57)=0,IF(COUNT(F57)=0,"",F57),G57))</x:f>
      </x:c>
      <x:c r="I57" s="23"/>
      <x:c r="J57" s="58" t="str">
        <x:f>IF(OR(E57=0,COUNT(G57)=0),"",MAX(G57-I57,0))</x:f>
      </x:c>
      <x:c r="K57" s="58" t="str">
        <x:f>IF(OR(COUNT(G57)=0,COUNT(F57)=0),"",G57-F57)</x:f>
      </x:c>
      <x:c r="L57" s="54" t="str">
        <x:f>IF(E57=0,IF(I57&gt;0,"未纳入但已有付款","未纳入"),IF(COUNT(G57)=0,IF(COUNT(F57)=0,"待定金额","待询价"),IF(I57&gt;G57,"超付待核",IF(I57=G57,"已报价已付清",IF(I57&gt;0,"部分已付","已报价未登记付款")))))</x:f>
        <x:v>待定金额</x:v>
      </x:c>
      <x:c r="M57" s="59" t="str">
        <x:v>两条新增Cat6回线、低压预留及可拆电源仓按HTML点位逐项确认。只计超出B02/B14/B48范围的差额。</x:v>
      </x:c>
      <x:c r="N57" s="2"/>
      <x:c r="O57" s="2"/>
    </x:row>
    <x:row r="58" ht="61" customHeight="1">
      <x:c r="A58" s="67" t="str">
        <x:v>P03</x:v>
      </x:c>
      <x:c r="B58" s="68" t="str">
        <x:v>待定费用</x:v>
      </x:c>
      <x:c r="C58" s="68" t="str">
        <x:v>后期DIY控制与传感器</x:v>
      </x:c>
      <x:c r="D58" s="38" t="n">
        <x:v>3</x:v>
      </x:c>
      <x:c r="E58" s="38" t="n">
        <x:v>1</x:v>
      </x:c>
      <x:c r="F58" s="70"/>
      <x:c r="G58" s="23"/>
      <x:c r="H58" s="71" t="str">
        <x:f>IF(E58=0,0,IF(COUNT(G58)=0,IF(COUNT(F58)=0,"",F58),G58))</x:f>
      </x:c>
      <x:c r="I58" s="23"/>
      <x:c r="J58" s="71" t="str">
        <x:f>IF(OR(E58=0,COUNT(G58)=0),"",MAX(G58-I58,0))</x:f>
      </x:c>
      <x:c r="K58" s="71" t="str">
        <x:f>IF(OR(COUNT(G58)=0,COUNT(F58)=0),"",G58-F58)</x:f>
      </x:c>
      <x:c r="L58" s="67" t="str">
        <x:f>IF(E58=0,IF(I58&gt;0,"未纳入但已有付款","未纳入"),IF(COUNT(G58)=0,IF(COUNT(F58)=0,"待定金额","待询价"),IF(I58&gt;G58,"超付待核",IF(I58=G58,"已报价已付清",IF(I58&gt;0,"部分已付","已报价未登记付款")))))</x:f>
        <x:v>待定金额</x:v>
      </x:c>
      <x:c r="M58" s="72" t="str">
        <x:v>窗帘、灯控、温湿度等控制器及电源、外壳、网关按最终方案核价。旧B41成品窗帘1800元未纳入，不视为DIY报价。</x:v>
      </x:c>
      <x:c r="N58" s="2"/>
      <x:c r="O58" s="2"/>
    </x:row>
    <x:row r="59" ht="61" customHeight="1">
      <x:c r="A59" s="47" t="str">
        <x:v>P04</x:v>
      </x:c>
      <x:c r="B59" s="48" t="str">
        <x:v>备选待定</x:v>
      </x:c>
      <x:c r="C59" s="49" t="str">
        <x:v>室内洗漱备选门及接口差额</x:v>
      </x:c>
      <x:c r="D59" s="41" t="n">
        <x:v>1</x:v>
      </x:c>
      <x:c r="E59" s="41" t="n">
        <x:v>0</x:v>
      </x:c>
      <x:c r="F59" s="51"/>
      <x:c r="G59" s="43"/>
      <x:c r="H59" s="52" t="n">
        <x:f>IF(E59=0,0,IF(COUNT(G59)=0,IF(COUNT(F59)=0,"",F59),G59))</x:f>
        <x:v>0</x:v>
      </x:c>
      <x:c r="I59" s="43"/>
      <x:c r="J59" s="52" t="str">
        <x:f>IF(OR(E59=0,COUNT(G59)=0),"",MAX(G59-I59,0))</x:f>
      </x:c>
      <x:c r="K59" s="52" t="str">
        <x:f>IF(OR(COUNT(G59)=0,COUNT(F59)=0),"",G59-F59)</x:f>
      </x:c>
      <x:c r="L59" s="47" t="str">
        <x:f>IF(E59=0,IF(I59&gt;0,"未纳入但已有付款","未纳入"),IF(COUNT(G59)=0,IF(COUNT(F59)=0,"待定金额","待询价"),IF(I59&gt;G59,"超付待核",IF(I59=G59,"已报价已付清",IF(I59&gt;0,"部分已付","已报价未登记付款")))))</x:f>
        <x:v>未纳入</x:v>
      </x:c>
      <x:c r="M59" s="53" t="str">
        <x:v>仅选择室内洗漱方案时核价。柜盆镜在B09只计一次，重核B07门及B48接口后填写净差额，避免叠加两套。</x:v>
      </x:c>
      <x:c r="N59" s="2"/>
      <x:c r="O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32" customHeight="1">
      <x:c r="A61" s="73"/>
      <x:c r="B61" s="73"/>
      <x:c r="C61" s="73" t="str">
        <x:v>合计（采用金额已按纳入计算）</x:v>
      </x:c>
      <x:c r="D61" s="73"/>
      <x:c r="E61" s="73"/>
      <x:c r="F61" s="73"/>
      <x:c r="G61" s="73"/>
      <x:c r="H61" s="74" t="n">
        <x:f>SUM(H8:H59)</x:f>
        <x:v>136450</x:v>
      </x:c>
      <x:c r="I61" s="74" t="n">
        <x:f>SUM(I8:I59)</x:f>
        <x:v>0</x:v>
      </x:c>
      <x:c r="J61" s="74" t="n">
        <x:f>SUM(J8:J59)</x:f>
        <x:v>0</x:v>
      </x:c>
      <x:c r="K61" s="73"/>
      <x:c r="L61" s="73"/>
      <x:c r="M61" s="73"/>
      <x:c r="N61" s="2"/>
      <x:c r="O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</x:sheetData>
  <x:conditionalFormatting sqref="L8:L59">
    <x:cfRule type="containsText" dxfId="1" priority="1" operator="containsText" text="待定金额"/>
    <x:cfRule type="containsText" dxfId="2" priority="2" operator="containsText" text="超付"/>
    <x:cfRule type="containsText" dxfId="3" priority="3" operator="containsText" text="已有付款"/>
  </x:conditionalFormatting>
  <x:conditionalFormatting sqref="K8:K59">
    <x:cfRule type="cellIs" dxfId="4" priority="4" operator="greaterThan">
      <x:formula>0</x:formula>
    </x:cfRule>
  </x:conditionalFormatting>
  <x:dataValidations count="2">
    <x:dataValidation type="list" sqref="D8:D59">
      <x:formula1>"1,2,3"</x:formula1>
    </x:dataValidation>
    <x:dataValidation type="list" sqref="E8:E5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836aad633946a2"/>
  </x:tableParts>
</x:worksheet>
</file>